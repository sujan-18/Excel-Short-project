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https://cloudmails-my.sharepoint.com/personal/np070609_mail_apu_edu_my/Documents/"/>
    </mc:Choice>
  </mc:AlternateContent>
  <xr:revisionPtr revIDLastSave="2" documentId="8_{00361D5A-2BFF-40AA-8A6B-74D7F5ED61B3}" xr6:coauthVersionLast="47" xr6:coauthVersionMax="47" xr10:uidLastSave="{87EDCFBC-35C9-43B7-BF9A-4C755F59CFCB}"/>
  <bookViews>
    <workbookView xWindow="-120" yWindow="-120" windowWidth="29040" windowHeight="15720" xr2:uid="{00000000-000D-0000-FFFF-FFFF00000000}"/>
  </bookViews>
  <sheets>
    <sheet name="Dashboard" sheetId="2" r:id="rId1"/>
    <sheet name="Raw Data" sheetId="1" r:id="rId2"/>
  </sheets>
  <definedNames>
    <definedName name="Slicer_Region">#N/A</definedName>
  </definedNames>
  <calcPr calcId="124519"/>
  <pivotCaches>
    <pivotCache cacheId="3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<sst xmlns="http://schemas.openxmlformats.org/spreadsheetml/2006/main" count="358" uniqueCount="222">
  <si>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</si>
  <si>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</si>
  <si>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</si>
  <si>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</si>
  <si>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</si>
  <si>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</si>
  <si>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</si>
  <si>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</si>
  <si>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</si>
  <si>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</si>
  <si>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</si>
  <si>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</si>
  <si>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</si>
  <si>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</si>
  <si>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</si>
  <si>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</si>
  <si>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</si>
  <si>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</si>
  <si>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</si>
  <si>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</si>
  <si>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</si>
  <si>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</si>
  <si>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</si>
  <si>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</si>
  <si>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</si>
  <si>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</si>
  <si>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</si>
  <si>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</si>
  <si>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</si>
  <si>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</si>
  <si>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</si>
  <si>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</si>
  <si>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</si>
  <si>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</si>
  <si>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</si>
  <si>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</si>
  <si>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</si>
  <si>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</si>
  <si>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</si>
  <si>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</si>
  <si>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</si>
  <si>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</si>
  <si>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</si>
  <si>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</si>
  <si>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</si>
  <si>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</si>
  <si>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</si>
  <si>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</si>
  <si>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</si>
  <si>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</si>
  <si>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</si>
  <si>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</si>
  <si>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</si>
  <si>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</si>
  <si>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</si>
  <si>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</si>
  <si>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</si>
  <si>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</si>
  <si>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</si>
  <si>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</si>
  <si>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</si>
  <si>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</si>
  <si>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</si>
  <si>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</si>
  <si>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</si>
  <si>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</si>
  <si>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</si>
  <si>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</si>
  <si>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</si>
  <si>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</si>
  <si>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</si>
  <si>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</si>
  <si>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</si>
  <si>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</si>
  <si>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</si>
  <si>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</si>
  <si>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</si>
  <si>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</si>
  <si>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</si>
  <si>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</si>
  <si>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</si>
  <si>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</si>
  <si>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</si>
  <si>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</si>
  <si>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</si>
  <si>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</si>
  <si>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</si>
  <si>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</si>
  <si>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</si>
  <si>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</si>
  <si>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</si>
  <si>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</si>
  <si>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</si>
  <si>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</si>
  <si>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</si>
  <si>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</si>
  <si>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</si>
  <si>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</si>
  <si>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</si>
  <si>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</si>
  <si>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</si>
  <si>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</si>
  <si>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</si>
  <si>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</si>
  <si>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</si>
  <si>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</si>
  <si>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</si>
  <si>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</si>
  <si>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</si>
  <si>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</si>
  <si>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</si>
  <si>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George Lindsey</t>
  </si>
  <si>
    <t>Richard Smith</t>
  </si>
  <si>
    <t>Margaret Lopez</t>
  </si>
  <si>
    <t>Peter Lawson</t>
  </si>
  <si>
    <t>Brian Lawson</t>
  </si>
  <si>
    <t>Emily Wallace</t>
  </si>
  <si>
    <t>Stanley Hanna</t>
  </si>
  <si>
    <t>Patrick Shaw</t>
  </si>
  <si>
    <t>Maria Harris</t>
  </si>
  <si>
    <t>Brenda Mcgrath</t>
  </si>
  <si>
    <t>Robert Lloyd</t>
  </si>
  <si>
    <t>Martin Farmer</t>
  </si>
  <si>
    <t>Joshua Thompson</t>
  </si>
  <si>
    <t>Jeffrey Williams</t>
  </si>
  <si>
    <t>Todd Black</t>
  </si>
  <si>
    <t>Mark Carter</t>
  </si>
  <si>
    <t>Megan Mann</t>
  </si>
  <si>
    <t>Erik Terry</t>
  </si>
  <si>
    <t>Tammy Richardson</t>
  </si>
  <si>
    <t>Karina Gillespie</t>
  </si>
  <si>
    <t>Arthur Green</t>
  </si>
  <si>
    <t>Jesse Page</t>
  </si>
  <si>
    <t>Sharon Wilkins</t>
  </si>
  <si>
    <t>Luis Smith</t>
  </si>
  <si>
    <t>Jennifer Singleton</t>
  </si>
  <si>
    <t>Ricky Miles Jr.</t>
  </si>
  <si>
    <t>Jacqueline Mullins</t>
  </si>
  <si>
    <t>Jason Montgomery</t>
  </si>
  <si>
    <t>Julie Kelly</t>
  </si>
  <si>
    <t>Regina Taylor</t>
  </si>
  <si>
    <t>William Johnson</t>
  </si>
  <si>
    <t>Sheila Hendrix</t>
  </si>
  <si>
    <t>Michael Dudley</t>
  </si>
  <si>
    <t>Angela James</t>
  </si>
  <si>
    <t>Ann Fernandez</t>
  </si>
  <si>
    <t>Jack Dennis</t>
  </si>
  <si>
    <t>Mary Jensen</t>
  </si>
  <si>
    <t>Susan Vargas</t>
  </si>
  <si>
    <t>Bruce Baker</t>
  </si>
  <si>
    <t>Scott Miller</t>
  </si>
  <si>
    <t>Michele Robinson</t>
  </si>
  <si>
    <t>Amber Moore</t>
  </si>
  <si>
    <t>William Green</t>
  </si>
  <si>
    <t>Timothy Scott MD</t>
  </si>
  <si>
    <t>Ernest Phillips</t>
  </si>
  <si>
    <t>Donna Manning</t>
  </si>
  <si>
    <t>Jacqueline Morales</t>
  </si>
  <si>
    <t>Oscar Smith</t>
  </si>
  <si>
    <t>Dustin Smith</t>
  </si>
  <si>
    <t>Selena Stafford</t>
  </si>
  <si>
    <t>Kenneth Hernandez</t>
  </si>
  <si>
    <t>Julie Hays</t>
  </si>
  <si>
    <t>Nathan Blair</t>
  </si>
  <si>
    <t>Kimberly Brown</t>
  </si>
  <si>
    <t>Christopher Jones</t>
  </si>
  <si>
    <t>Susan Wade</t>
  </si>
  <si>
    <t>Max Hood</t>
  </si>
  <si>
    <t>Sherri Jordan</t>
  </si>
  <si>
    <t>Tracey Edwards</t>
  </si>
  <si>
    <t>Joseph Hughes</t>
  </si>
  <si>
    <t>Monica Patton</t>
  </si>
  <si>
    <t>Ryan Johnson</t>
  </si>
  <si>
    <t>Sherri Herrera</t>
  </si>
  <si>
    <t>James Johns</t>
  </si>
  <si>
    <t>Matthew Ross</t>
  </si>
  <si>
    <t>Jeffrey Pineda</t>
  </si>
  <si>
    <t>Mark Weaver</t>
  </si>
  <si>
    <t>Sandra Ramos PhD</t>
  </si>
  <si>
    <t>Chelsea Winters</t>
  </si>
  <si>
    <t>Donald Williams</t>
  </si>
  <si>
    <t>Mark Campbell</t>
  </si>
  <si>
    <t>Paula Greene</t>
  </si>
  <si>
    <t>Sean Smith</t>
  </si>
  <si>
    <t>Joshua Jones</t>
  </si>
  <si>
    <t>Tony Gomez</t>
  </si>
  <si>
    <t>Kerry Johnson</t>
  </si>
  <si>
    <t>Alicia Graham</t>
  </si>
  <si>
    <t>Lori Luna</t>
  </si>
  <si>
    <t>Ariana Garcia</t>
  </si>
  <si>
    <t>Claudia Alvarez</t>
  </si>
  <si>
    <t>Crystal Graham</t>
  </si>
  <si>
    <t>Danny Arellano</t>
  </si>
  <si>
    <t>Ashley Johnson</t>
  </si>
  <si>
    <t>William Hall</t>
  </si>
  <si>
    <t>Jennifer Stein</t>
  </si>
  <si>
    <t>Tracey Best</t>
  </si>
  <si>
    <t>Victoria Burns</t>
  </si>
  <si>
    <t>Miranda Romero</t>
  </si>
  <si>
    <t>Mark Thomas Jr.</t>
  </si>
  <si>
    <t>Crystal Murphy</t>
  </si>
  <si>
    <t>Christopher Fuentes</t>
  </si>
  <si>
    <t>Matthew Buckley Jr.</t>
  </si>
  <si>
    <t>Tiffany Roberts</t>
  </si>
  <si>
    <t>William Marshall</t>
  </si>
  <si>
    <t>Amber Nguyen</t>
  </si>
  <si>
    <t>Audrey Nelson</t>
  </si>
  <si>
    <t>Kim Bond</t>
  </si>
  <si>
    <t>Sarah Lam</t>
  </si>
  <si>
    <t>Justin Aguilar</t>
  </si>
  <si>
    <t>Delhi</t>
  </si>
  <si>
    <t>Mumbai</t>
  </si>
  <si>
    <t>Ranchi</t>
  </si>
  <si>
    <t>Patna</t>
  </si>
  <si>
    <t>Nagpur</t>
  </si>
  <si>
    <t>Surat</t>
  </si>
  <si>
    <t>Pune</t>
  </si>
  <si>
    <t>Chennai</t>
  </si>
  <si>
    <t xml:space="preserve">Total Sales </t>
  </si>
  <si>
    <t xml:space="preserve">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</si>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</sst>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name val="Segoe UI"/>
      <family val="2"/>
    </font>
  </fonts>
  <fills count="4">
    <fill>
      <patternFill patternType="none"/>
    </fill>
    <fill>
      <patternFill patternType="gray125"/>
    </fill>
    <fill>
      <patternFill patternType="solid">
        <fgColor rgb="FF00B0F0"/>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1">
    <xf numFmtId="0" fontId="0" fillId="0" borderId="0" xfId="0"/>
    <xf numFmtId="0" fontId="0" fillId="0" borderId="0" xfId="0" applyAlignment="1">
      <alignment horizontal="center"/>
    </xf>
    <xf numFmtId="0" fontId="1" fillId="2" borderId="1" xfId="0" applyFont="1" applyFill="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10" fontId="0" fillId="0" borderId="0" xfId="0" applyNumberFormat="1" applyAlignment="1">
      <alignment horizontal="center"/>
    </xf>
    <xf numFmtId="2" fontId="1" fillId="2" borderId="1" xfId="0" applyNumberFormat="1" applyFont="1" applyFill="1" applyBorder="1" applyAlignment="1">
      <alignment horizontal="center" vertical="top"/>
    </xf>
    <xf numFmtId="2" fontId="0" fillId="0" borderId="0" xfId="0" applyNumberFormat="1"/>
    <xf numFmtId="0" fontId="0" fillId="3" borderId="0" xfId="0" applyFill="1"/>
  </cellXfs>
  <cellStyles count="1">
    <cellStyle name="Normal" xfId="0" builtinId="0"/>
  </cellStyles>
  <dxfs count="78">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ill>
        <patternFill>
          <bgColor theme="5" tint="-0.24994659260841701"/>
        </patternFill>
      </fill>
    </dxf>
    <dxf>
      <fill>
        <patternFill>
          <bgColor theme="1"/>
        </patternFill>
      </fill>
    </dxf>
    <dxf>
      <numFmt numFmtId="14" formatCode="0.00%"/>
    </dxf>
    <dxf>
      <numFmt numFmtId="14" formatCode="0.00%"/>
    </dxf>
  </dxfs>
  <tableStyles count="2" defaultTableStyle="TableStyleMedium9" defaultPivotStyle="PivotStyleLight16">
    <tableStyle name="Slicer Style 1" pivot="0" table="0" count="1" xr9:uid="{57C27F5F-77F4-4C7A-BFED-FB08E387C943}">
      <tableStyleElement type="wholeTable" dxfId="75"/>
    </tableStyle>
    <tableStyle name="Slicer Style 2" pivot="0" table="0" count="5" xr9:uid="{54152C73-19BC-4728-AD47-BC7B516DC7BF}">
      <tableStyleElement type="wholeTable" dxfId="74"/>
    </tableStyle>
  </tableStyles>
  <extLst>
    <ext xmlns:x14="http://schemas.microsoft.com/office/spreadsheetml/2009/9/main" uri="{46F421CA-312F-682f-3DD2-61675219B42D}">
      <x14:dxfs count="4">
        <dxf>
          <fill>
            <patternFill>
              <bgColor rgb="FF7030A0"/>
            </patternFill>
          </fill>
        </dxf>
        <dxf>
          <fill>
            <patternFill>
              <bgColor rgb="FF7030A0"/>
            </patternFill>
          </fill>
        </dxf>
        <dxf>
          <fill>
            <patternFill>
              <bgColor rgb="FFFFFF0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Dashboard!$A$4:$A$13</c:f>
              <c:strCache>
                <c:ptCount val="10"/>
                <c:pt idx="0">
                  <c:v>Ariana Garcia</c:v>
                </c:pt>
                <c:pt idx="1">
                  <c:v>Chelsea Winters</c:v>
                </c:pt>
                <c:pt idx="2">
                  <c:v>Jason Montgomery</c:v>
                </c:pt>
                <c:pt idx="3">
                  <c:v>Jennifer Stein</c:v>
                </c:pt>
                <c:pt idx="4">
                  <c:v>Joshua Jones</c:v>
                </c:pt>
                <c:pt idx="5">
                  <c:v>Kenneth Hernandez</c:v>
                </c:pt>
                <c:pt idx="6">
                  <c:v>Nathan Blair</c:v>
                </c:pt>
                <c:pt idx="7">
                  <c:v>Sheila Hendrix</c:v>
                </c:pt>
                <c:pt idx="8">
                  <c:v>Tracey Best</c:v>
                </c:pt>
                <c:pt idx="9">
                  <c:v>Tracey Edwards</c:v>
                </c:pt>
              </c:strCache>
            </c:strRef>
          </c:cat>
          <c:val>
            <c:numRef>
              <c:f>Dashboard!$B$4:$B$13</c:f>
              <c:numCache>
                <c:formatCode>General</c:formatCode>
                <c:ptCount val="10"/>
                <c:pt idx="0">
                  <c:v>297</c:v>
                </c:pt>
                <c:pt idx="1">
                  <c:v>283</c:v>
                </c:pt>
                <c:pt idx="2">
                  <c:v>299</c:v>
                </c:pt>
                <c:pt idx="3">
                  <c:v>311</c:v>
                </c:pt>
                <c:pt idx="4">
                  <c:v>294</c:v>
                </c:pt>
                <c:pt idx="5">
                  <c:v>271</c:v>
                </c:pt>
                <c:pt idx="6">
                  <c:v>359</c:v>
                </c:pt>
                <c:pt idx="7">
                  <c:v>328</c:v>
                </c:pt>
                <c:pt idx="8">
                  <c:v>245</c:v>
                </c:pt>
                <c:pt idx="9">
                  <c:v>254</c:v>
                </c:pt>
              </c:numCache>
            </c:numRef>
          </c:val>
          <c:extLst>
            <c:ext xmlns:c16="http://schemas.microsoft.com/office/drawing/2014/chart" uri="{C3380CC4-5D6E-409C-BE32-E72D297353CC}">
              <c16:uniqueId val="{00000000-1391-4912-8ACC-FD69A596FED0}"/>
            </c:ext>
          </c:extLst>
        </c:ser>
        <c:dLbls>
          <c:showLegendKey val="0"/>
          <c:showVal val="0"/>
          <c:showCatName val="0"/>
          <c:showSerName val="0"/>
          <c:showPercent val="0"/>
          <c:showBubbleSize val="0"/>
        </c:dLbls>
        <c:gapWidth val="182"/>
        <c:axId val="1698921551"/>
        <c:axId val="1698939311"/>
      </c:barChart>
      <c:catAx>
        <c:axId val="1698921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8939311"/>
        <c:crosses val="autoZero"/>
        <c:auto val="1"/>
        <c:lblAlgn val="ctr"/>
        <c:lblOffset val="100"/>
        <c:noMultiLvlLbl val="0"/>
      </c:catAx>
      <c:valAx>
        <c:axId val="1698939311"/>
        <c:scaling>
          <c:orientation val="minMax"/>
        </c:scaling>
        <c:delete val="1"/>
        <c:axPos val="b"/>
        <c:numFmt formatCode="General" sourceLinked="1"/>
        <c:majorTickMark val="none"/>
        <c:minorTickMark val="none"/>
        <c:tickLblPos val="nextTo"/>
        <c:crossAx val="1698921551"/>
        <c:crosses val="autoZero"/>
        <c:crossBetween val="between"/>
      </c:valAx>
      <c:spPr>
        <a:solidFill>
          <a:schemeClr val="bg2"/>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579298033286294"/>
          <c:y val="3.0884565389327026E-3"/>
          <c:w val="0.68931263823338917"/>
          <c:h val="0.76805981432460013"/>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Dashboard!$G$4:$G$13</c:f>
              <c:strCache>
                <c:ptCount val="10"/>
                <c:pt idx="0">
                  <c:v>Ariana Garcia</c:v>
                </c:pt>
                <c:pt idx="1">
                  <c:v>Chelsea Winters</c:v>
                </c:pt>
                <c:pt idx="2">
                  <c:v>Jason Montgomery</c:v>
                </c:pt>
                <c:pt idx="3">
                  <c:v>Jennifer Stein</c:v>
                </c:pt>
                <c:pt idx="4">
                  <c:v>Joshua Jones</c:v>
                </c:pt>
                <c:pt idx="5">
                  <c:v>Kenneth Hernandez</c:v>
                </c:pt>
                <c:pt idx="6">
                  <c:v>Nathan Blair</c:v>
                </c:pt>
                <c:pt idx="7">
                  <c:v>Sheila Hendrix</c:v>
                </c:pt>
                <c:pt idx="8">
                  <c:v>Tracey Best</c:v>
                </c:pt>
                <c:pt idx="9">
                  <c:v>Tracey Edwards</c:v>
                </c:pt>
              </c:strCache>
            </c:strRef>
          </c:cat>
          <c:val>
            <c:numRef>
              <c:f>Dashboard!$H$4:$H$13</c:f>
              <c:numCache>
                <c:formatCode>0.00%</c:formatCode>
                <c:ptCount val="10"/>
                <c:pt idx="0">
                  <c:v>0.59399999999999997</c:v>
                </c:pt>
                <c:pt idx="1">
                  <c:v>0.56599999999999995</c:v>
                </c:pt>
                <c:pt idx="2">
                  <c:v>0.59799999999999998</c:v>
                </c:pt>
                <c:pt idx="3">
                  <c:v>0.622</c:v>
                </c:pt>
                <c:pt idx="4">
                  <c:v>0.58799999999999997</c:v>
                </c:pt>
                <c:pt idx="5">
                  <c:v>0.54200000000000004</c:v>
                </c:pt>
                <c:pt idx="6">
                  <c:v>0.71799999999999997</c:v>
                </c:pt>
                <c:pt idx="7">
                  <c:v>0.65600000000000003</c:v>
                </c:pt>
                <c:pt idx="8">
                  <c:v>0.49</c:v>
                </c:pt>
                <c:pt idx="9">
                  <c:v>0.50800000000000001</c:v>
                </c:pt>
              </c:numCache>
            </c:numRef>
          </c:val>
          <c:extLst>
            <c:ext xmlns:c16="http://schemas.microsoft.com/office/drawing/2014/chart" uri="{C3380CC4-5D6E-409C-BE32-E72D297353CC}">
              <c16:uniqueId val="{00000000-114C-4031-BCBE-8CDF6A16AB58}"/>
            </c:ext>
          </c:extLst>
        </c:ser>
        <c:dLbls>
          <c:dLblPos val="bestFit"/>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[Sales_Performance_Data.xlsm]Dashboard!PivotTable6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Dashboard!$J$4:$J$13</c:f>
              <c:strCache>
                <c:ptCount val="10"/>
                <c:pt idx="0">
                  <c:v>Chelsea Winters</c:v>
                </c:pt>
                <c:pt idx="1">
                  <c:v>Donald Williams</c:v>
                </c:pt>
                <c:pt idx="2">
                  <c:v>Jeffrey Pineda</c:v>
                </c:pt>
                <c:pt idx="3">
                  <c:v>Jeffrey Williams</c:v>
                </c:pt>
                <c:pt idx="4">
                  <c:v>Joshua Jones</c:v>
                </c:pt>
                <c:pt idx="5">
                  <c:v>Kenneth Hernandez</c:v>
                </c:pt>
                <c:pt idx="6">
                  <c:v>Richard Smith</c:v>
                </c:pt>
                <c:pt idx="7">
                  <c:v>Tracey Best</c:v>
                </c:pt>
                <c:pt idx="8">
                  <c:v>Tracey Edwards</c:v>
                </c:pt>
                <c:pt idx="9">
                  <c:v>William Green</c:v>
                </c:pt>
              </c:strCache>
            </c:strRef>
          </c:cat>
          <c:val>
            <c:numRef>
              <c:f>Dashboard!$K$4:$K$13</c:f>
              <c:numCache>
                <c:formatCode>0.00%</c:formatCode>
                <c:ptCount val="10"/>
                <c:pt idx="0">
                  <c:v>0.434</c:v>
                </c:pt>
                <c:pt idx="1">
                  <c:v>0.57399999999999995</c:v>
                </c:pt>
                <c:pt idx="2">
                  <c:v>0.52</c:v>
                </c:pt>
                <c:pt idx="3">
                  <c:v>0.51200000000000001</c:v>
                </c:pt>
                <c:pt idx="4">
                  <c:v>0.41199999999999998</c:v>
                </c:pt>
                <c:pt idx="5">
                  <c:v>0.45800000000000002</c:v>
                </c:pt>
                <c:pt idx="6">
                  <c:v>0.55800000000000005</c:v>
                </c:pt>
                <c:pt idx="7">
                  <c:v>0.51</c:v>
                </c:pt>
                <c:pt idx="8">
                  <c:v>0.49199999999999999</c:v>
                </c:pt>
                <c:pt idx="9">
                  <c:v>0.69799999999999995</c:v>
                </c:pt>
              </c:numCache>
            </c:numRef>
          </c:val>
          <c:smooth val="0"/>
          <c:extLst>
            <c:ext xmlns:c16="http://schemas.microsoft.com/office/drawing/2014/chart" uri="{C3380CC4-5D6E-409C-BE32-E72D297353CC}">
              <c16:uniqueId val="{00000000-FAEC-420F-90ED-BE175A1B8777}"/>
            </c:ext>
          </c:extLst>
        </c:ser>
        <c:dLbls>
          <c:dLblPos val="t"/>
          <c:showLegendKey val="0"/>
          <c:showVal val="1"/>
          <c:showCatName val="0"/>
          <c:showSerName val="0"/>
          <c:showPercent val="0"/>
          <c:showBubbleSize val="0"/>
        </c:dLbls>
        <c:smooth val="0"/>
        <c:axId val="1813524431"/>
        <c:axId val="1813533071"/>
      </c:lineChart>
      <c:catAx>
        <c:axId val="1813524431"/>
        <c:scaling>
          <c:orientation val="minMax"/>
        </c:scaling>
        <c:delete val="1"/>
        <c:axPos val="b"/>
        <c:numFmt formatCode="General" sourceLinked="1"/>
        <c:majorTickMark val="none"/>
        <c:minorTickMark val="none"/>
        <c:tickLblPos val="nextTo"/>
        <c:crossAx val="1813533071"/>
        <c:crosses val="autoZero"/>
        <c:auto val="1"/>
        <c:lblAlgn val="ctr"/>
        <c:lblOffset val="100"/>
        <c:noMultiLvlLbl val="0"/>
      </c:catAx>
      <c:valAx>
        <c:axId val="1813533071"/>
        <c:scaling>
          <c:orientation val="minMax"/>
        </c:scaling>
        <c:delete val="1"/>
        <c:axPos val="l"/>
        <c:numFmt formatCode="0.00%" sourceLinked="1"/>
        <c:majorTickMark val="none"/>
        <c:minorTickMark val="none"/>
        <c:tickLblPos val="nextTo"/>
        <c:crossAx val="181352443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180975</xdr:rowOff>
    </xdr:from>
    <xdr:to>
      <xdr:col>4</xdr:col>
      <xdr:colOff>1609725</xdr:colOff>
      <xdr:row>27</xdr:row>
      <xdr:rowOff>61912</xdr:rowOff>
    </xdr:to>
    <xdr:graphicFrame macro="">
      <xdr:nvGraphicFramePr>
        <xdr:cNvPr id="2" name="Chart 1">
          <a:extLst>
            <a:ext uri="{FF2B5EF4-FFF2-40B4-BE49-F238E27FC236}">
              <a16:creationId xmlns:a16="http://schemas.microsoft.com/office/drawing/2014/main" id="{C7E8118B-D946-E5E7-12F2-A308623D78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46664</xdr:colOff>
      <xdr:row>13</xdr:row>
      <xdr:rowOff>97390</xdr:rowOff>
    </xdr:from>
    <xdr:to>
      <xdr:col>9</xdr:col>
      <xdr:colOff>75240</xdr:colOff>
      <xdr:row>30</xdr:row>
      <xdr:rowOff>40241</xdr:rowOff>
    </xdr:to>
    <xdr:graphicFrame macro="">
      <xdr:nvGraphicFramePr>
        <xdr:cNvPr id="3" name="Chart 2">
          <a:extLst>
            <a:ext uri="{FF2B5EF4-FFF2-40B4-BE49-F238E27FC236}">
              <a16:creationId xmlns:a16="http://schemas.microsoft.com/office/drawing/2014/main" id="{FE8B8536-40AD-2604-4E31-7F2F09077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171450</xdr:colOff>
      <xdr:row>13</xdr:row>
      <xdr:rowOff>185737</xdr:rowOff>
    </xdr:from>
    <xdr:to>
      <xdr:col>11</xdr:col>
      <xdr:colOff>9525</xdr:colOff>
      <xdr:row>30</xdr:row>
      <xdr:rowOff>9525</xdr:rowOff>
    </xdr:to>
    <xdr:graphicFrame macro="">
      <xdr:nvGraphicFramePr>
        <xdr:cNvPr id="4" name="Chart 3">
          <a:extLst>
            <a:ext uri="{FF2B5EF4-FFF2-40B4-BE49-F238E27FC236}">
              <a16:creationId xmlns:a16="http://schemas.microsoft.com/office/drawing/2014/main" id="{977CF671-5508-DDD3-26F0-0B33C4A258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29536</xdr:rowOff>
    </xdr:from>
    <xdr:to>
      <xdr:col>10</xdr:col>
      <xdr:colOff>1772092</xdr:colOff>
      <xdr:row>1</xdr:row>
      <xdr:rowOff>371094</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197BD39C-2109-C513-D1C9-31F3C125355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9536"/>
              <a:ext cx="13689418" cy="504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487325</xdr:rowOff>
    </xdr:from>
    <xdr:to>
      <xdr:col>1</xdr:col>
      <xdr:colOff>1461976</xdr:colOff>
      <xdr:row>2</xdr:row>
      <xdr:rowOff>7384</xdr:rowOff>
    </xdr:to>
    <xdr:sp macro="" textlink="">
      <xdr:nvSpPr>
        <xdr:cNvPr id="7" name="Speech Bubble: Rectangle 6">
          <a:extLst>
            <a:ext uri="{FF2B5EF4-FFF2-40B4-BE49-F238E27FC236}">
              <a16:creationId xmlns:a16="http://schemas.microsoft.com/office/drawing/2014/main" id="{969E1F58-AFD4-681E-3F76-087568E02440}"/>
            </a:ext>
          </a:extLst>
        </xdr:cNvPr>
        <xdr:cNvSpPr/>
      </xdr:nvSpPr>
      <xdr:spPr>
        <a:xfrm>
          <a:off x="0" y="649767"/>
          <a:ext cx="3204534" cy="19936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475807</xdr:colOff>
          <xdr:row>1</xdr:row>
          <xdr:rowOff>490279</xdr:rowOff>
        </xdr:from>
        <xdr:to>
          <xdr:col>0</xdr:col>
          <xdr:colOff>1476744</xdr:colOff>
          <xdr:row>2</xdr:row>
          <xdr:rowOff>23554</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4725</xdr:colOff>
      <xdr:row>1</xdr:row>
      <xdr:rowOff>484667</xdr:rowOff>
    </xdr:from>
    <xdr:to>
      <xdr:col>4</xdr:col>
      <xdr:colOff>1617034</xdr:colOff>
      <xdr:row>2</xdr:row>
      <xdr:rowOff>4726</xdr:rowOff>
    </xdr:to>
    <xdr:sp macro="[0]!slicerConnector" textlink="">
      <xdr:nvSpPr>
        <xdr:cNvPr id="8" name="Speech Bubble: Rectangle 7">
          <a:extLst>
            <a:ext uri="{FF2B5EF4-FFF2-40B4-BE49-F238E27FC236}">
              <a16:creationId xmlns:a16="http://schemas.microsoft.com/office/drawing/2014/main" id="{C551D081-802E-48DE-BCF4-64D15FB91B3E}"/>
            </a:ext>
          </a:extLst>
        </xdr:cNvPr>
        <xdr:cNvSpPr/>
      </xdr:nvSpPr>
      <xdr:spPr>
        <a:xfrm>
          <a:off x="3386469" y="647109"/>
          <a:ext cx="3251495" cy="19936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xdr:colOff>
      <xdr:row>1</xdr:row>
      <xdr:rowOff>479942</xdr:rowOff>
    </xdr:from>
    <xdr:to>
      <xdr:col>7</xdr:col>
      <xdr:colOff>1594885</xdr:colOff>
      <xdr:row>2</xdr:row>
      <xdr:rowOff>1</xdr:rowOff>
    </xdr:to>
    <xdr:sp macro="" textlink="">
      <xdr:nvSpPr>
        <xdr:cNvPr id="9" name="Speech Bubble: Rectangle 8">
          <a:extLst>
            <a:ext uri="{FF2B5EF4-FFF2-40B4-BE49-F238E27FC236}">
              <a16:creationId xmlns:a16="http://schemas.microsoft.com/office/drawing/2014/main" id="{E97C86DE-32BA-4A53-94B7-3661325DACED}"/>
            </a:ext>
          </a:extLst>
        </xdr:cNvPr>
        <xdr:cNvSpPr/>
      </xdr:nvSpPr>
      <xdr:spPr>
        <a:xfrm>
          <a:off x="6844710" y="642384"/>
          <a:ext cx="3130698" cy="19936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7384</xdr:colOff>
      <xdr:row>1</xdr:row>
      <xdr:rowOff>465174</xdr:rowOff>
    </xdr:from>
    <xdr:to>
      <xdr:col>11</xdr:col>
      <xdr:colOff>0</xdr:colOff>
      <xdr:row>1</xdr:row>
      <xdr:rowOff>664535</xdr:rowOff>
    </xdr:to>
    <xdr:sp macro="" textlink="">
      <xdr:nvSpPr>
        <xdr:cNvPr id="10" name="Speech Bubble: Rectangle 9">
          <a:extLst>
            <a:ext uri="{FF2B5EF4-FFF2-40B4-BE49-F238E27FC236}">
              <a16:creationId xmlns:a16="http://schemas.microsoft.com/office/drawing/2014/main" id="{52968CA3-170A-4279-A4D3-C69095A2A439}"/>
            </a:ext>
          </a:extLst>
        </xdr:cNvPr>
        <xdr:cNvSpPr/>
      </xdr:nvSpPr>
      <xdr:spPr>
        <a:xfrm>
          <a:off x="10204303" y="627616"/>
          <a:ext cx="3485116" cy="19936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516491</xdr:colOff>
          <xdr:row>1</xdr:row>
          <xdr:rowOff>477653</xdr:rowOff>
        </xdr:from>
        <xdr:to>
          <xdr:col>3</xdr:col>
          <xdr:colOff>1288016</xdr:colOff>
          <xdr:row>2</xdr:row>
          <xdr:rowOff>10928</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395694</xdr:colOff>
          <xdr:row>1</xdr:row>
          <xdr:rowOff>478022</xdr:rowOff>
        </xdr:from>
        <xdr:to>
          <xdr:col>6</xdr:col>
          <xdr:colOff>1167219</xdr:colOff>
          <xdr:row>2</xdr:row>
          <xdr:rowOff>9747</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13B08574-BAA2-5942-84A6-7CBC180303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383584</xdr:colOff>
          <xdr:row>1</xdr:row>
          <xdr:rowOff>462885</xdr:rowOff>
        </xdr:from>
        <xdr:to>
          <xdr:col>9</xdr:col>
          <xdr:colOff>1155109</xdr:colOff>
          <xdr:row>1</xdr:row>
          <xdr:rowOff>675462</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BA0BF42E-3E70-A577-CBC9-F6253CBB1E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GB"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784.664874421294" createdVersion="8" refreshedVersion="8" minRefreshableVersion="3" recordCount="99" xr:uid="{1C983283-A37A-41B6-A15F-A8ABC4973E31}">
  <cacheSource type="worksheet">
    <worksheetSource ref="A1:L100" sheet="Raw Data"/>
  </cacheSource>
  <cacheFields count="12">
    <cacheField name="Emp Code" numFmtId="0">
      <sharedItems/>
    </cacheField>
    <cacheField name="Sales Executive" numFmtId="0">
      <sharedItems count="100">
        <s v="George Lindsey"/>
        <s v="Richard Smith"/>
        <s v="Margaret Lopez"/>
        <s v="Peter Lawson"/>
        <s v="Brian Lawson"/>
        <s v="Emily Wallace"/>
        <s v="Stanley Hanna"/>
        <s v="Patrick Shaw"/>
        <s v="Maria Harris"/>
        <s v="Brenda Mcgrath"/>
        <s v="Robert Lloyd"/>
        <s v="Martin Farmer"/>
        <s v="Joshua Thompson"/>
        <s v="Jeffrey Williams"/>
        <s v="Todd Black"/>
        <s v="Mark Carter"/>
        <s v="Megan Mann"/>
        <s v="Erik Terry"/>
        <s v="Tammy Richardson"/>
        <s v="Karina Gillespie"/>
        <s v="Arthur Green"/>
        <s v="Jesse Page"/>
        <s v="Sharon Wilkins"/>
        <s v="Luis Smith"/>
        <s v="Jennifer Singleton"/>
        <s v="Ricky Miles Jr."/>
        <s v="Jacqueline Mullins"/>
        <s v="Jason Montgomery"/>
        <s v="Julie Kelly"/>
        <s v="Regina Taylor"/>
        <s v="William Johnson"/>
        <s v="Sheila Hendrix"/>
        <s v="Michael Dudley"/>
        <s v="Angela James"/>
        <s v="Ann Fernandez"/>
        <s v="Jack Dennis"/>
        <s v="Mary Jensen"/>
        <s v="Susan Vargas"/>
        <s v="Bruce Baker"/>
        <s v="Scott Miller"/>
        <s v="Michele Robinson"/>
        <s v="Amber Moore"/>
        <s v="William Green"/>
        <s v="Timothy Scott MD"/>
        <s v="Ernest Phillips"/>
        <s v="Donna Manning"/>
        <s v="Jacqueline Morales"/>
        <s v="Oscar Smith"/>
        <s v="Dustin Smith"/>
        <s v="Selena Stafford"/>
        <s v="Kenneth Hernandez"/>
        <s v="Julie Hays"/>
        <s v="Nathan Blair"/>
        <s v="Kimberly Brown"/>
        <s v="Christopher Jones"/>
        <s v="Susan Wade"/>
        <s v="Max Hood"/>
        <s v="Sherri Jordan"/>
        <s v="Tracey Edwards"/>
        <s v="Joseph Hughes"/>
        <s v="Monica Patton"/>
        <s v="Ryan Johnson"/>
        <s v="Sherri Herrera"/>
        <s v="James Johns"/>
        <s v="Matthew Ross"/>
        <s v="Jeffrey Pineda"/>
        <s v="Mark Weaver"/>
        <s v="Sandra Ramos PhD"/>
        <s v="Chelsea Winters"/>
        <s v="Donald Williams"/>
        <s v="Mark Campbell"/>
        <s v="Paula Greene"/>
        <s v="Sean Smith"/>
        <s v="Joshua Jones"/>
        <s v="Tony Gomez"/>
        <s v="Kerry Johnson"/>
        <s v="Alicia Graham"/>
        <s v="Lori Luna"/>
        <s v="Ariana Garcia"/>
        <s v="Claudia Alvarez"/>
        <s v="Crystal Graham"/>
        <s v="Danny Arellano"/>
        <s v="Ashley Johnson"/>
        <s v="William Hall"/>
        <s v="Jennifer Stein"/>
        <s v="Tracey Best"/>
        <s v="Victoria Burns"/>
        <s v="Miranda Romero"/>
        <s v="Mark Thomas Jr."/>
        <s v="Crystal Murphy"/>
        <s v="Christopher Fuentes"/>
        <s v="Matthew Buckley Jr."/>
        <s v="Tiffany Roberts"/>
        <s v="William Marshall"/>
        <s v="Amber Nguyen"/>
        <s v="Audrey Nelson"/>
        <s v="Kim Bond"/>
        <s v="Sarah Lam"/>
        <s v="Justin Aguilar"/>
        <s v="Margaret Knapp DDS" u="1"/>
      </sharedItems>
    </cacheField>
    <cacheField name="Region" numFmtId="0">
      <sharedItems count="8">
        <s v="Delhi"/>
        <s v="Mumbai"/>
        <s v="Ranchi"/>
        <s v="Patna"/>
        <s v="Nagpur"/>
        <s v="Surat"/>
        <s v="Pune"/>
        <s v="Chennai"/>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98"/>
    </cacheField>
    <cacheField name="Day4" numFmtId="0">
      <sharedItems containsSemiMixedTypes="0" containsString="0" containsNumber="1" containsInteger="1" minValue="12"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48" maxValue="432"/>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9599999999999999" maxValue="0.86399999999999999"/>
    </cacheField>
    <cacheField name="Away From Target %" numFmtId="10">
      <sharedItems containsMixedTypes="1" containsNumber="1" minValue="0.13600000000000001" maxValue="0.70399999999999996"/>
    </cacheField>
  </cacheFields>
  <extLst>
    <ext xmlns:x14="http://schemas.microsoft.com/office/spreadsheetml/2009/9/main" uri="{725AE2AE-9491-48be-B2B4-4EB974FC3084}">
      <x14:pivotCacheDefinition pivotCacheId="16507027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s v="Mum-TCL001"/>
    <x v="0"/>
    <x v="0"/>
    <n v="10"/>
    <n v="72"/>
    <n v="44"/>
    <n v="77"/>
    <n v="60"/>
    <n v="263"/>
    <n v="500"/>
    <n v="0.52600000000000002"/>
    <s v=" "/>
  </r>
  <r>
    <s v="Mum-TCL002"/>
    <x v="1"/>
    <x v="1"/>
    <n v="29"/>
    <n v="34"/>
    <n v="13"/>
    <n v="100"/>
    <n v="45"/>
    <n v="221"/>
    <n v="500"/>
    <n v="0.442"/>
    <n v="0.55800000000000005"/>
  </r>
  <r>
    <s v="Mum-TCL003"/>
    <x v="2"/>
    <x v="2"/>
    <n v="79"/>
    <n v="84"/>
    <n v="10"/>
    <n v="24"/>
    <n v="73"/>
    <n v="270"/>
    <n v="500"/>
    <n v="0.54"/>
    <n v="0.46"/>
  </r>
  <r>
    <s v="Mum-TCL004"/>
    <x v="3"/>
    <x v="3"/>
    <n v="98"/>
    <n v="37"/>
    <n v="38"/>
    <n v="69"/>
    <n v="75"/>
    <n v="317"/>
    <n v="500"/>
    <n v="0.63400000000000001"/>
    <n v="0.36599999999999999"/>
  </r>
  <r>
    <s v="Mum-TCL005"/>
    <x v="4"/>
    <x v="4"/>
    <n v="41"/>
    <n v="18"/>
    <n v="47"/>
    <n v="47"/>
    <n v="36"/>
    <n v="189"/>
    <n v="500"/>
    <n v="0.378"/>
    <n v="0.622"/>
  </r>
  <r>
    <s v="Mum-TCL006"/>
    <x v="5"/>
    <x v="5"/>
    <n v="46"/>
    <n v="64"/>
    <n v="92"/>
    <n v="76"/>
    <n v="18"/>
    <n v="296"/>
    <n v="500"/>
    <n v="0.59199999999999997"/>
    <n v="0.40799999999999997"/>
  </r>
  <r>
    <s v="Mum-TCL007"/>
    <x v="6"/>
    <x v="3"/>
    <n v="54"/>
    <n v="80"/>
    <n v="94"/>
    <n v="30"/>
    <n v="98"/>
    <n v="356"/>
    <n v="500"/>
    <n v="0.71199999999999997"/>
    <n v="0.28799999999999998"/>
  </r>
  <r>
    <s v="Mum-TCL008"/>
    <x v="7"/>
    <x v="6"/>
    <n v="33"/>
    <n v="75"/>
    <n v="11"/>
    <n v="89"/>
    <n v="26"/>
    <n v="234"/>
    <n v="500"/>
    <n v="0.46800000000000003"/>
    <n v="0.53200000000000003"/>
  </r>
  <r>
    <s v="Mum-TCL009"/>
    <x v="8"/>
    <x v="5"/>
    <n v="82"/>
    <n v="83"/>
    <n v="13"/>
    <n v="92"/>
    <n v="71"/>
    <n v="341"/>
    <n v="500"/>
    <n v="0.68200000000000005"/>
    <n v="0.318"/>
  </r>
  <r>
    <s v="Mum-TCL010"/>
    <x v="9"/>
    <x v="6"/>
    <n v="82"/>
    <n v="59"/>
    <n v="18"/>
    <n v="69"/>
    <n v="19"/>
    <n v="247"/>
    <n v="500"/>
    <n v="0.49399999999999999"/>
    <n v="0.50600000000000001"/>
  </r>
  <r>
    <s v="Mum-TCL011"/>
    <x v="10"/>
    <x v="6"/>
    <n v="100"/>
    <n v="73"/>
    <n v="94"/>
    <n v="17"/>
    <n v="35"/>
    <n v="319"/>
    <n v="500"/>
    <n v="0.63800000000000001"/>
    <n v="0.36199999999999999"/>
  </r>
  <r>
    <s v="Mum-TCL012"/>
    <x v="11"/>
    <x v="6"/>
    <n v="89"/>
    <n v="24"/>
    <n v="89"/>
    <n v="97"/>
    <n v="55"/>
    <n v="354"/>
    <n v="500"/>
    <n v="0.70799999999999996"/>
    <n v="0.29199999999999998"/>
  </r>
  <r>
    <s v="Mum-TCL013"/>
    <x v="12"/>
    <x v="6"/>
    <n v="83"/>
    <n v="87"/>
    <n v="95"/>
    <n v="59"/>
    <n v="28"/>
    <n v="352"/>
    <n v="500"/>
    <n v="0.70399999999999996"/>
    <n v="0.29599999999999999"/>
  </r>
  <r>
    <s v="Mum-TCL014"/>
    <x v="13"/>
    <x v="1"/>
    <n v="99"/>
    <n v="19"/>
    <n v="67"/>
    <n v="14"/>
    <n v="45"/>
    <n v="244"/>
    <n v="500"/>
    <n v="0.48799999999999999"/>
    <n v="0.51200000000000001"/>
  </r>
  <r>
    <s v="Mum-TCL015"/>
    <x v="14"/>
    <x v="7"/>
    <n v="24"/>
    <n v="92"/>
    <n v="28"/>
    <n v="32"/>
    <n v="47"/>
    <n v="223"/>
    <n v="500"/>
    <n v="0.44600000000000001"/>
    <n v="0.55400000000000005"/>
  </r>
  <r>
    <s v="Mum-TCL016"/>
    <x v="15"/>
    <x v="5"/>
    <n v="76"/>
    <n v="41"/>
    <n v="95"/>
    <n v="53"/>
    <n v="22"/>
    <n v="287"/>
    <n v="500"/>
    <n v="0.57399999999999995"/>
    <n v="0.42599999999999999"/>
  </r>
  <r>
    <s v="Mum-TCL017"/>
    <x v="16"/>
    <x v="7"/>
    <n v="49"/>
    <n v="70"/>
    <n v="48"/>
    <n v="41"/>
    <n v="75"/>
    <n v="283"/>
    <n v="500"/>
    <n v="0.56599999999999995"/>
    <n v="0.434"/>
  </r>
  <r>
    <s v="Mum-TCL018"/>
    <x v="17"/>
    <x v="0"/>
    <n v="66"/>
    <n v="21"/>
    <n v="93"/>
    <n v="68"/>
    <n v="31"/>
    <n v="279"/>
    <n v="500"/>
    <n v="0.55800000000000005"/>
    <n v="0.442"/>
  </r>
  <r>
    <s v="Mum-TCL020"/>
    <x v="18"/>
    <x v="2"/>
    <n v="24"/>
    <n v="73"/>
    <n v="31"/>
    <n v="84"/>
    <n v="51"/>
    <n v="263"/>
    <n v="500"/>
    <n v="0.52600000000000002"/>
    <n v="0.47399999999999998"/>
  </r>
  <r>
    <s v="Mum-TCL021"/>
    <x v="19"/>
    <x v="3"/>
    <n v="31"/>
    <n v="69"/>
    <n v="22"/>
    <n v="29"/>
    <n v="62"/>
    <n v="213"/>
    <n v="500"/>
    <n v="0.42599999999999999"/>
    <n v="0.57399999999999995"/>
  </r>
  <r>
    <s v="Mum-TCL022"/>
    <x v="20"/>
    <x v="0"/>
    <n v="63"/>
    <n v="31"/>
    <n v="46"/>
    <n v="59"/>
    <n v="15"/>
    <n v="214"/>
    <n v="500"/>
    <n v="0.42799999999999999"/>
    <n v="0.57199999999999995"/>
  </r>
  <r>
    <s v="Mum-TCL023"/>
    <x v="21"/>
    <x v="4"/>
    <n v="98"/>
    <n v="43"/>
    <n v="88"/>
    <n v="99"/>
    <n v="56"/>
    <n v="384"/>
    <n v="500"/>
    <n v="0.76800000000000002"/>
    <n v="0.23200000000000001"/>
  </r>
  <r>
    <s v="Mum-TCL024"/>
    <x v="22"/>
    <x v="4"/>
    <n v="55"/>
    <n v="74"/>
    <n v="16"/>
    <n v="20"/>
    <n v="52"/>
    <n v="217"/>
    <n v="500"/>
    <n v="0.434"/>
    <n v="0.56599999999999995"/>
  </r>
  <r>
    <s v="Mum-TCL025"/>
    <x v="23"/>
    <x v="5"/>
    <n v="20"/>
    <n v="78"/>
    <n v="98"/>
    <n v="28"/>
    <n v="36"/>
    <n v="260"/>
    <n v="500"/>
    <n v="0.52"/>
    <n v="0.48"/>
  </r>
  <r>
    <s v="Mum-TCL026"/>
    <x v="24"/>
    <x v="6"/>
    <n v="80"/>
    <n v="15"/>
    <n v="95"/>
    <n v="50"/>
    <n v="63"/>
    <n v="303"/>
    <n v="500"/>
    <n v="0.60599999999999998"/>
    <n v="0.39400000000000002"/>
  </r>
  <r>
    <s v="Mum-TCL027"/>
    <x v="25"/>
    <x v="5"/>
    <n v="59"/>
    <n v="26"/>
    <n v="57"/>
    <n v="58"/>
    <n v="78"/>
    <n v="278"/>
    <n v="500"/>
    <n v="0.55600000000000005"/>
    <n v="0.44400000000000001"/>
  </r>
  <r>
    <s v="Mum-TCL028"/>
    <x v="26"/>
    <x v="3"/>
    <n v="24"/>
    <n v="56"/>
    <n v="85"/>
    <n v="92"/>
    <n v="55"/>
    <n v="312"/>
    <n v="500"/>
    <n v="0.624"/>
    <n v="0.376"/>
  </r>
  <r>
    <s v="Mum-TCL029"/>
    <x v="27"/>
    <x v="1"/>
    <n v="64"/>
    <n v="48"/>
    <n v="66"/>
    <n v="38"/>
    <n v="83"/>
    <n v="299"/>
    <n v="500"/>
    <n v="0.59799999999999998"/>
    <n v="0.40200000000000002"/>
  </r>
  <r>
    <s v="Mum-TCL030"/>
    <x v="28"/>
    <x v="6"/>
    <n v="66"/>
    <n v="16"/>
    <n v="55"/>
    <n v="87"/>
    <n v="37"/>
    <n v="261"/>
    <n v="500"/>
    <n v="0.52200000000000002"/>
    <n v="0.47799999999999998"/>
  </r>
  <r>
    <s v="Mum-TCL031"/>
    <x v="29"/>
    <x v="2"/>
    <n v="88"/>
    <n v="49"/>
    <n v="32"/>
    <n v="76"/>
    <n v="24"/>
    <n v="269"/>
    <n v="500"/>
    <n v="0.53800000000000003"/>
    <n v="0.46200000000000002"/>
  </r>
  <r>
    <s v="Mum-TCL032"/>
    <x v="30"/>
    <x v="3"/>
    <n v="91"/>
    <n v="39"/>
    <n v="19"/>
    <n v="37"/>
    <n v="40"/>
    <n v="226"/>
    <n v="500"/>
    <n v="0.45200000000000001"/>
    <n v="0.54800000000000004"/>
  </r>
  <r>
    <s v="Mum-TCL033"/>
    <x v="31"/>
    <x v="1"/>
    <n v="67"/>
    <n v="60"/>
    <n v="28"/>
    <n v="83"/>
    <n v="90"/>
    <n v="328"/>
    <n v="500"/>
    <n v="0.65600000000000003"/>
    <n v="0.34399999999999997"/>
  </r>
  <r>
    <s v="Mum-TCL034"/>
    <x v="32"/>
    <x v="2"/>
    <n v="91"/>
    <n v="72"/>
    <n v="98"/>
    <n v="18"/>
    <n v="14"/>
    <n v="293"/>
    <n v="500"/>
    <n v="0.58599999999999997"/>
    <n v="0.41399999999999998"/>
  </r>
  <r>
    <s v="Mum-TCL035"/>
    <x v="33"/>
    <x v="4"/>
    <n v="61"/>
    <n v="97"/>
    <n v="41"/>
    <n v="21"/>
    <n v="10"/>
    <n v="230"/>
    <n v="500"/>
    <n v="0.46"/>
    <n v="0.54"/>
  </r>
  <r>
    <s v="Mum-TCL036"/>
    <x v="34"/>
    <x v="0"/>
    <n v="82"/>
    <n v="59"/>
    <n v="98"/>
    <n v="38"/>
    <n v="18"/>
    <n v="295"/>
    <n v="500"/>
    <n v="0.59"/>
    <n v="0.41"/>
  </r>
  <r>
    <s v="Mum-TCL037"/>
    <x v="35"/>
    <x v="2"/>
    <n v="87"/>
    <n v="63"/>
    <n v="90"/>
    <n v="12"/>
    <n v="10"/>
    <n v="262"/>
    <n v="500"/>
    <n v="0.52400000000000002"/>
    <n v="0.47599999999999998"/>
  </r>
  <r>
    <s v="Mum-TCL038"/>
    <x v="36"/>
    <x v="4"/>
    <n v="69"/>
    <n v="48"/>
    <n v="61"/>
    <n v="49"/>
    <n v="81"/>
    <n v="308"/>
    <n v="500"/>
    <n v="0.61599999999999999"/>
    <n v="0.38400000000000001"/>
  </r>
  <r>
    <s v="Mum-TCL039"/>
    <x v="37"/>
    <x v="3"/>
    <n v="20"/>
    <n v="32"/>
    <n v="56"/>
    <n v="39"/>
    <n v="67"/>
    <n v="214"/>
    <n v="500"/>
    <n v="0.42799999999999999"/>
    <n v="0.57199999999999995"/>
  </r>
  <r>
    <s v="Mum-TCL040"/>
    <x v="38"/>
    <x v="3"/>
    <n v="98"/>
    <n v="67"/>
    <n v="35"/>
    <n v="77"/>
    <n v="78"/>
    <n v="355"/>
    <n v="500"/>
    <n v="0.71"/>
    <n v="0.28999999999999998"/>
  </r>
  <r>
    <s v="Mum-TCL041"/>
    <x v="39"/>
    <x v="2"/>
    <n v="43"/>
    <n v="94"/>
    <n v="39"/>
    <n v="50"/>
    <n v="81"/>
    <n v="307"/>
    <n v="500"/>
    <n v="0.61399999999999999"/>
    <n v="0.38600000000000001"/>
  </r>
  <r>
    <s v="Mum-TCL042"/>
    <x v="40"/>
    <x v="6"/>
    <n v="42"/>
    <n v="95"/>
    <n v="41"/>
    <n v="67"/>
    <n v="100"/>
    <n v="345"/>
    <n v="500"/>
    <n v="0.69"/>
    <n v="0.31"/>
  </r>
  <r>
    <s v="Mum-TCL043"/>
    <x v="41"/>
    <x v="6"/>
    <n v="67"/>
    <n v="22"/>
    <n v="32"/>
    <n v="73"/>
    <n v="55"/>
    <n v="249"/>
    <n v="500"/>
    <n v="0.498"/>
    <n v="0.502"/>
  </r>
  <r>
    <s v="Mum-TCL044"/>
    <x v="42"/>
    <x v="1"/>
    <n v="22"/>
    <n v="20"/>
    <n v="67"/>
    <n v="29"/>
    <n v="13"/>
    <n v="151"/>
    <n v="500"/>
    <n v="0.30199999999999999"/>
    <n v="0.69799999999999995"/>
  </r>
  <r>
    <s v="Mum-TCL045"/>
    <x v="43"/>
    <x v="2"/>
    <n v="29"/>
    <n v="60"/>
    <n v="44"/>
    <n v="57"/>
    <n v="68"/>
    <n v="258"/>
    <n v="500"/>
    <n v="0.51600000000000001"/>
    <n v="0.48399999999999999"/>
  </r>
  <r>
    <s v="Mum-TCL046"/>
    <x v="44"/>
    <x v="0"/>
    <n v="28"/>
    <n v="53"/>
    <n v="29"/>
    <n v="24"/>
    <n v="28"/>
    <n v="162"/>
    <n v="500"/>
    <n v="0.32400000000000001"/>
    <n v="0.67600000000000005"/>
  </r>
  <r>
    <s v="Mum-TCL047"/>
    <x v="45"/>
    <x v="3"/>
    <n v="84"/>
    <n v="25"/>
    <n v="86"/>
    <n v="64"/>
    <n v="15"/>
    <n v="274"/>
    <n v="500"/>
    <n v="0.54800000000000004"/>
    <n v="0.45200000000000001"/>
  </r>
  <r>
    <s v="Mum-TCL048"/>
    <x v="46"/>
    <x v="6"/>
    <n v="67"/>
    <n v="61"/>
    <n v="40"/>
    <n v="76"/>
    <n v="73"/>
    <n v="317"/>
    <n v="500"/>
    <n v="0.63400000000000001"/>
    <n v="0.36599999999999999"/>
  </r>
  <r>
    <s v="Mum-TCL049"/>
    <x v="47"/>
    <x v="0"/>
    <n v="20"/>
    <n v="100"/>
    <n v="16"/>
    <n v="77"/>
    <n v="99"/>
    <n v="312"/>
    <n v="500"/>
    <n v="0.624"/>
    <n v="0.376"/>
  </r>
  <r>
    <s v="Mum-TCL050"/>
    <x v="48"/>
    <x v="7"/>
    <n v="74"/>
    <n v="84"/>
    <n v="30"/>
    <n v="63"/>
    <n v="23"/>
    <n v="274"/>
    <n v="500"/>
    <n v="0.54800000000000004"/>
    <n v="0.45200000000000001"/>
  </r>
  <r>
    <s v="Mum-TCL051"/>
    <x v="49"/>
    <x v="6"/>
    <n v="58"/>
    <n v="24"/>
    <n v="16"/>
    <n v="66"/>
    <n v="81"/>
    <n v="245"/>
    <n v="500"/>
    <n v="0.49"/>
    <n v="0.51"/>
  </r>
  <r>
    <s v="Mum-TCL052"/>
    <x v="50"/>
    <x v="1"/>
    <n v="80"/>
    <n v="58"/>
    <n v="55"/>
    <n v="17"/>
    <n v="61"/>
    <n v="271"/>
    <n v="500"/>
    <n v="0.54200000000000004"/>
    <n v="0.45800000000000002"/>
  </r>
  <r>
    <s v="Mum-TCL053"/>
    <x v="51"/>
    <x v="2"/>
    <n v="39"/>
    <n v="63"/>
    <n v="44"/>
    <n v="100"/>
    <n v="48"/>
    <n v="294"/>
    <n v="500"/>
    <n v="0.58799999999999997"/>
    <n v="0.41199999999999998"/>
  </r>
  <r>
    <s v="Mum-TCL054"/>
    <x v="52"/>
    <x v="1"/>
    <n v="83"/>
    <n v="76"/>
    <n v="40"/>
    <n v="71"/>
    <n v="89"/>
    <n v="359"/>
    <n v="500"/>
    <n v="0.71799999999999997"/>
    <n v="0.28199999999999997"/>
  </r>
  <r>
    <s v="Mum-TCL055"/>
    <x v="53"/>
    <x v="5"/>
    <n v="11"/>
    <n v="92"/>
    <n v="11"/>
    <n v="55"/>
    <n v="13"/>
    <n v="182"/>
    <n v="500"/>
    <n v="0.36399999999999999"/>
    <n v="0.63600000000000001"/>
  </r>
  <r>
    <s v="Mum-TCL056"/>
    <x v="54"/>
    <x v="4"/>
    <n v="83"/>
    <n v="10"/>
    <n v="54"/>
    <n v="85"/>
    <n v="70"/>
    <n v="302"/>
    <n v="500"/>
    <n v="0.60399999999999998"/>
    <n v="0.39600000000000002"/>
  </r>
  <r>
    <s v="Mum-TCL057"/>
    <x v="55"/>
    <x v="2"/>
    <n v="70"/>
    <n v="11"/>
    <n v="92"/>
    <n v="37"/>
    <n v="41"/>
    <n v="251"/>
    <n v="500"/>
    <n v="0.502"/>
    <n v="0.498"/>
  </r>
  <r>
    <s v="Mum-TCL058"/>
    <x v="56"/>
    <x v="7"/>
    <n v="43"/>
    <n v="24"/>
    <n v="53"/>
    <n v="43"/>
    <n v="65"/>
    <n v="228"/>
    <n v="500"/>
    <n v="0.45600000000000002"/>
    <n v="0.54400000000000004"/>
  </r>
  <r>
    <s v="Mum-TCL059"/>
    <x v="57"/>
    <x v="6"/>
    <n v="26"/>
    <n v="70"/>
    <n v="59"/>
    <n v="36"/>
    <n v="19"/>
    <n v="210"/>
    <n v="500"/>
    <n v="0.42"/>
    <n v="0.57999999999999996"/>
  </r>
  <r>
    <s v="Mum-TCL060"/>
    <x v="58"/>
    <x v="1"/>
    <n v="58"/>
    <n v="89"/>
    <n v="52"/>
    <n v="32"/>
    <n v="23"/>
    <n v="254"/>
    <n v="500"/>
    <n v="0.50800000000000001"/>
    <n v="0.49199999999999999"/>
  </r>
  <r>
    <s v="Mum-TCL061"/>
    <x v="59"/>
    <x v="0"/>
    <n v="18"/>
    <n v="13"/>
    <n v="96"/>
    <n v="25"/>
    <n v="16"/>
    <n v="168"/>
    <n v="500"/>
    <n v="0.33600000000000002"/>
    <n v="0.66400000000000003"/>
  </r>
  <r>
    <s v="Mum-TCL062"/>
    <x v="60"/>
    <x v="2"/>
    <n v="63"/>
    <n v="48"/>
    <n v="58"/>
    <n v="83"/>
    <n v="57"/>
    <n v="309"/>
    <n v="500"/>
    <n v="0.61799999999999999"/>
    <n v="0.38200000000000001"/>
  </r>
  <r>
    <s v="Mum-TCL063"/>
    <x v="61"/>
    <x v="4"/>
    <n v="82"/>
    <n v="39"/>
    <n v="70"/>
    <n v="85"/>
    <n v="98"/>
    <n v="374"/>
    <n v="500"/>
    <n v="0.748"/>
    <n v="0.252"/>
  </r>
  <r>
    <s v="Mum-TCL064"/>
    <x v="62"/>
    <x v="4"/>
    <n v="76"/>
    <n v="69"/>
    <n v="34"/>
    <n v="91"/>
    <n v="83"/>
    <n v="353"/>
    <n v="500"/>
    <n v="0.70599999999999996"/>
    <n v="0.29399999999999998"/>
  </r>
  <r>
    <s v="Mum-TCL065"/>
    <x v="63"/>
    <x v="5"/>
    <n v="57"/>
    <n v="81"/>
    <n v="47"/>
    <n v="20"/>
    <n v="68"/>
    <n v="273"/>
    <n v="500"/>
    <n v="0.54600000000000004"/>
    <n v="0.45400000000000001"/>
  </r>
  <r>
    <s v="Mum-TCL066"/>
    <x v="64"/>
    <x v="3"/>
    <n v="63"/>
    <n v="10"/>
    <n v="48"/>
    <n v="60"/>
    <n v="53"/>
    <n v="234"/>
    <n v="500"/>
    <n v="0.46800000000000003"/>
    <n v="0.53200000000000003"/>
  </r>
  <r>
    <s v="Mum-TCL067"/>
    <x v="65"/>
    <x v="1"/>
    <n v="12"/>
    <n v="43"/>
    <n v="58"/>
    <n v="36"/>
    <n v="91"/>
    <n v="240"/>
    <n v="500"/>
    <n v="0.48"/>
    <n v="0.52"/>
  </r>
  <r>
    <s v="Mum-TCL068"/>
    <x v="66"/>
    <x v="7"/>
    <n v="22"/>
    <n v="49"/>
    <n v="32"/>
    <n v="18"/>
    <n v="75"/>
    <n v="196"/>
    <n v="500"/>
    <n v="0.39200000000000002"/>
    <n v="0.60799999999999998"/>
  </r>
  <r>
    <s v="Mum-TCL069"/>
    <x v="67"/>
    <x v="6"/>
    <n v="79"/>
    <n v="14"/>
    <n v="94"/>
    <n v="86"/>
    <n v="81"/>
    <n v="354"/>
    <n v="500"/>
    <n v="0.70799999999999996"/>
    <n v="0.29199999999999998"/>
  </r>
  <r>
    <s v="Mum-TCL070"/>
    <x v="68"/>
    <x v="1"/>
    <n v="46"/>
    <n v="65"/>
    <n v="63"/>
    <n v="85"/>
    <n v="24"/>
    <n v="283"/>
    <n v="500"/>
    <n v="0.56599999999999995"/>
    <n v="0.434"/>
  </r>
  <r>
    <s v="Mum-TCL071"/>
    <x v="69"/>
    <x v="1"/>
    <n v="32"/>
    <n v="12"/>
    <n v="50"/>
    <n v="79"/>
    <n v="40"/>
    <n v="213"/>
    <n v="500"/>
    <n v="0.42599999999999999"/>
    <n v="0.57399999999999995"/>
  </r>
  <r>
    <s v="Mum-TCL072"/>
    <x v="70"/>
    <x v="5"/>
    <n v="86"/>
    <n v="52"/>
    <n v="81"/>
    <n v="66"/>
    <n v="88"/>
    <n v="373"/>
    <n v="500"/>
    <n v="0.746"/>
    <n v="0.254"/>
  </r>
  <r>
    <s v="Mum-TCL073"/>
    <x v="71"/>
    <x v="0"/>
    <n v="17"/>
    <n v="96"/>
    <n v="81"/>
    <n v="22"/>
    <n v="36"/>
    <n v="252"/>
    <n v="500"/>
    <n v="0.504"/>
    <n v="0.496"/>
  </r>
  <r>
    <s v="Mum-TCL074"/>
    <x v="72"/>
    <x v="2"/>
    <n v="77"/>
    <n v="83"/>
    <n v="55"/>
    <n v="37"/>
    <n v="17"/>
    <n v="269"/>
    <n v="500"/>
    <n v="0.53800000000000003"/>
    <n v="0.46200000000000002"/>
  </r>
  <r>
    <s v="Mum-TCL075"/>
    <x v="73"/>
    <x v="1"/>
    <n v="80"/>
    <n v="39"/>
    <n v="95"/>
    <n v="70"/>
    <n v="10"/>
    <n v="294"/>
    <n v="500"/>
    <n v="0.58799999999999997"/>
    <n v="0.41199999999999998"/>
  </r>
  <r>
    <s v="Mum-TCL076"/>
    <x v="74"/>
    <x v="2"/>
    <n v="69"/>
    <n v="11"/>
    <n v="36"/>
    <n v="86"/>
    <n v="59"/>
    <n v="261"/>
    <n v="500"/>
    <n v="0.52200000000000002"/>
    <n v="0.47799999999999998"/>
  </r>
  <r>
    <s v="Mum-TCL077"/>
    <x v="75"/>
    <x v="3"/>
    <n v="74"/>
    <n v="45"/>
    <n v="91"/>
    <n v="55"/>
    <n v="92"/>
    <n v="357"/>
    <n v="500"/>
    <n v="0.71399999999999997"/>
    <n v="0.28599999999999998"/>
  </r>
  <r>
    <s v="Mum-TCL078"/>
    <x v="76"/>
    <x v="3"/>
    <n v="10"/>
    <n v="25"/>
    <n v="80"/>
    <n v="69"/>
    <n v="20"/>
    <n v="204"/>
    <n v="500"/>
    <n v="0.40799999999999997"/>
    <n v="0.59199999999999997"/>
  </r>
  <r>
    <s v="Mum-TCL079"/>
    <x v="77"/>
    <x v="2"/>
    <n v="10"/>
    <n v="78"/>
    <n v="47"/>
    <n v="45"/>
    <n v="49"/>
    <n v="229"/>
    <n v="500"/>
    <n v="0.45800000000000002"/>
    <n v="0.54200000000000004"/>
  </r>
  <r>
    <s v="Mum-TCL080"/>
    <x v="78"/>
    <x v="1"/>
    <n v="29"/>
    <n v="89"/>
    <n v="68"/>
    <n v="55"/>
    <n v="56"/>
    <n v="297"/>
    <n v="500"/>
    <n v="0.59399999999999997"/>
    <n v="0.40600000000000003"/>
  </r>
  <r>
    <s v="Mum-TCL081"/>
    <x v="79"/>
    <x v="6"/>
    <n v="76"/>
    <n v="78"/>
    <n v="84"/>
    <n v="83"/>
    <n v="28"/>
    <n v="349"/>
    <n v="500"/>
    <n v="0.69799999999999995"/>
    <n v="0.30199999999999999"/>
  </r>
  <r>
    <s v="Mum-TCL082"/>
    <x v="80"/>
    <x v="4"/>
    <n v="86"/>
    <n v="88"/>
    <n v="93"/>
    <n v="68"/>
    <n v="97"/>
    <n v="432"/>
    <n v="500"/>
    <n v="0.86399999999999999"/>
    <n v="0.13600000000000001"/>
  </r>
  <r>
    <s v="Mum-TCL083"/>
    <x v="81"/>
    <x v="4"/>
    <n v="69"/>
    <n v="39"/>
    <n v="81"/>
    <n v="59"/>
    <n v="92"/>
    <n v="340"/>
    <n v="500"/>
    <n v="0.68"/>
    <n v="0.32"/>
  </r>
  <r>
    <s v="Mum-TCL084"/>
    <x v="82"/>
    <x v="4"/>
    <n v="49"/>
    <n v="66"/>
    <n v="26"/>
    <n v="23"/>
    <n v="12"/>
    <n v="176"/>
    <n v="500"/>
    <n v="0.35199999999999998"/>
    <n v="0.64800000000000002"/>
  </r>
  <r>
    <s v="Mum-TCL085"/>
    <x v="83"/>
    <x v="7"/>
    <n v="24"/>
    <n v="20"/>
    <n v="41"/>
    <n v="32"/>
    <n v="31"/>
    <n v="148"/>
    <n v="500"/>
    <n v="0.29599999999999999"/>
    <n v="0.70399999999999996"/>
  </r>
  <r>
    <s v="Mum-TCL086"/>
    <x v="84"/>
    <x v="1"/>
    <n v="21"/>
    <n v="97"/>
    <n v="73"/>
    <n v="39"/>
    <n v="81"/>
    <n v="311"/>
    <n v="500"/>
    <n v="0.622"/>
    <n v="0.378"/>
  </r>
  <r>
    <s v="Mum-TCL087"/>
    <x v="85"/>
    <x v="1"/>
    <n v="28"/>
    <n v="24"/>
    <n v="98"/>
    <n v="37"/>
    <n v="58"/>
    <n v="245"/>
    <n v="500"/>
    <n v="0.49"/>
    <n v="0.51"/>
  </r>
  <r>
    <s v="Mum-TCL088"/>
    <x v="86"/>
    <x v="3"/>
    <n v="82"/>
    <n v="52"/>
    <n v="88"/>
    <n v="49"/>
    <n v="58"/>
    <n v="329"/>
    <n v="500"/>
    <n v="0.65800000000000003"/>
    <n v="0.34200000000000003"/>
  </r>
  <r>
    <s v="Mum-TCL089"/>
    <x v="87"/>
    <x v="4"/>
    <n v="27"/>
    <n v="88"/>
    <n v="96"/>
    <n v="26"/>
    <n v="99"/>
    <n v="336"/>
    <n v="500"/>
    <n v="0.67200000000000004"/>
    <n v="0.32800000000000001"/>
  </r>
  <r>
    <s v="Mum-TCL090"/>
    <x v="88"/>
    <x v="5"/>
    <n v="35"/>
    <n v="21"/>
    <n v="98"/>
    <n v="50"/>
    <n v="97"/>
    <n v="301"/>
    <n v="500"/>
    <n v="0.60199999999999998"/>
    <n v="0.39800000000000002"/>
  </r>
  <r>
    <s v="Mum-TCL091"/>
    <x v="89"/>
    <x v="7"/>
    <n v="98"/>
    <n v="86"/>
    <n v="55"/>
    <n v="32"/>
    <n v="42"/>
    <n v="313"/>
    <n v="500"/>
    <n v="0.626"/>
    <n v="0.374"/>
  </r>
  <r>
    <s v="Mum-TCL092"/>
    <x v="90"/>
    <x v="0"/>
    <n v="35"/>
    <n v="39"/>
    <n v="30"/>
    <n v="83"/>
    <n v="48"/>
    <n v="235"/>
    <n v="500"/>
    <n v="0.47"/>
    <n v="0.53"/>
  </r>
  <r>
    <s v="Mum-TCL093"/>
    <x v="91"/>
    <x v="5"/>
    <n v="95"/>
    <n v="28"/>
    <n v="77"/>
    <n v="41"/>
    <n v="17"/>
    <n v="258"/>
    <n v="500"/>
    <n v="0.51600000000000001"/>
    <n v="0.48399999999999999"/>
  </r>
  <r>
    <s v="Mum-TCL094"/>
    <x v="92"/>
    <x v="2"/>
    <n v="46"/>
    <n v="16"/>
    <n v="63"/>
    <n v="94"/>
    <n v="62"/>
    <n v="281"/>
    <n v="500"/>
    <n v="0.56200000000000006"/>
    <n v="0.438"/>
  </r>
  <r>
    <s v="Mum-TCL095"/>
    <x v="93"/>
    <x v="5"/>
    <n v="21"/>
    <n v="30"/>
    <n v="58"/>
    <n v="49"/>
    <n v="81"/>
    <n v="239"/>
    <n v="500"/>
    <n v="0.47799999999999998"/>
    <n v="0.52200000000000002"/>
  </r>
  <r>
    <s v="Mum-TCL096"/>
    <x v="94"/>
    <x v="5"/>
    <n v="24"/>
    <n v="17"/>
    <n v="89"/>
    <n v="32"/>
    <n v="28"/>
    <n v="190"/>
    <n v="500"/>
    <n v="0.38"/>
    <n v="0.62"/>
  </r>
  <r>
    <s v="Mum-TCL097"/>
    <x v="95"/>
    <x v="0"/>
    <n v="73"/>
    <n v="80"/>
    <n v="48"/>
    <n v="70"/>
    <n v="13"/>
    <n v="284"/>
    <n v="500"/>
    <n v="0.56799999999999995"/>
    <n v="0.432"/>
  </r>
  <r>
    <s v="Mum-TCL098"/>
    <x v="96"/>
    <x v="7"/>
    <n v="31"/>
    <n v="26"/>
    <n v="47"/>
    <n v="63"/>
    <n v="91"/>
    <n v="258"/>
    <n v="500"/>
    <n v="0.51600000000000001"/>
    <n v="0.48399999999999999"/>
  </r>
  <r>
    <s v="Mum-TCL099"/>
    <x v="97"/>
    <x v="3"/>
    <n v="28"/>
    <n v="68"/>
    <n v="93"/>
    <n v="29"/>
    <n v="53"/>
    <n v="271"/>
    <n v="500"/>
    <n v="0.54200000000000004"/>
    <n v="0.45800000000000002"/>
  </r>
  <r>
    <s v="Mum-TCL100"/>
    <x v="98"/>
    <x v="4"/>
    <n v="22"/>
    <n v="75"/>
    <n v="61"/>
    <n v="72"/>
    <n v="19"/>
    <n v="249"/>
    <n v="500"/>
    <n v="0.498"/>
    <n v="0.5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E5C9B7-3F47-4B31-BDF7-9B7A91C4790D}" name="PivotTable6" cacheId="3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13" firstHeaderRow="1" firstDataRow="1" firstDataCol="1"/>
  <pivotFields count="12">
    <pivotField showAll="0"/>
    <pivotField axis="axisRow" showAll="0" measureFilter="1">
      <items count="101">
        <item x="76"/>
        <item x="41"/>
        <item x="94"/>
        <item x="33"/>
        <item x="34"/>
        <item x="78"/>
        <item x="20"/>
        <item x="82"/>
        <item x="95"/>
        <item x="9"/>
        <item x="4"/>
        <item x="38"/>
        <item x="68"/>
        <item x="90"/>
        <item x="54"/>
        <item x="79"/>
        <item x="80"/>
        <item x="89"/>
        <item x="81"/>
        <item x="69"/>
        <item x="45"/>
        <item x="48"/>
        <item x="5"/>
        <item x="17"/>
        <item x="44"/>
        <item x="0"/>
        <item x="35"/>
        <item x="46"/>
        <item x="26"/>
        <item x="63"/>
        <item x="27"/>
        <item x="65"/>
        <item x="13"/>
        <item x="24"/>
        <item x="84"/>
        <item x="21"/>
        <item x="59"/>
        <item x="73"/>
        <item x="12"/>
        <item x="51"/>
        <item x="28"/>
        <item x="98"/>
        <item x="19"/>
        <item x="50"/>
        <item x="75"/>
        <item x="96"/>
        <item x="53"/>
        <item x="77"/>
        <item x="23"/>
        <item m="1" x="99"/>
        <item x="2"/>
        <item x="8"/>
        <item x="70"/>
        <item x="15"/>
        <item x="88"/>
        <item x="66"/>
        <item x="11"/>
        <item x="36"/>
        <item x="91"/>
        <item x="64"/>
        <item x="56"/>
        <item x="16"/>
        <item x="32"/>
        <item x="40"/>
        <item x="87"/>
        <item x="60"/>
        <item x="52"/>
        <item x="47"/>
        <item x="7"/>
        <item x="71"/>
        <item x="3"/>
        <item x="29"/>
        <item x="1"/>
        <item x="25"/>
        <item x="10"/>
        <item x="61"/>
        <item x="67"/>
        <item x="97"/>
        <item x="39"/>
        <item x="72"/>
        <item x="49"/>
        <item x="22"/>
        <item x="31"/>
        <item x="62"/>
        <item x="57"/>
        <item x="6"/>
        <item x="37"/>
        <item x="55"/>
        <item x="18"/>
        <item x="92"/>
        <item x="43"/>
        <item x="14"/>
        <item x="74"/>
        <item x="85"/>
        <item x="58"/>
        <item x="86"/>
        <item x="42"/>
        <item x="83"/>
        <item x="30"/>
        <item x="93"/>
        <item t="default"/>
      </items>
    </pivotField>
    <pivotField showAll="0">
      <items count="9">
        <item h="1" x="7"/>
        <item h="1" x="0"/>
        <item x="1"/>
        <item h="1" x="4"/>
        <item h="1" x="3"/>
        <item h="1" x="6"/>
        <item h="1" x="2"/>
        <item h="1" x="5"/>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10">
    <i>
      <x v="12"/>
    </i>
    <i>
      <x v="19"/>
    </i>
    <i>
      <x v="31"/>
    </i>
    <i>
      <x v="32"/>
    </i>
    <i>
      <x v="37"/>
    </i>
    <i>
      <x v="43"/>
    </i>
    <i>
      <x v="72"/>
    </i>
    <i>
      <x v="93"/>
    </i>
    <i>
      <x v="94"/>
    </i>
    <i>
      <x v="96"/>
    </i>
  </rowItems>
  <colItems count="1">
    <i/>
  </colItems>
  <dataFields count="1">
    <dataField name="Away From Target % " fld="11" baseField="1" baseItem="2"/>
  </dataFields>
  <formats count="1">
    <format dxfId="76">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404B9E-1362-4C43-86D9-52A979567472}" name="PivotTable5" cacheId="3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13" firstHeaderRow="1" firstDataRow="1" firstDataCol="1"/>
  <pivotFields count="12">
    <pivotField showAll="0"/>
    <pivotField axis="axisRow" showAll="0" measureFilter="1">
      <items count="101">
        <item x="76"/>
        <item x="41"/>
        <item x="94"/>
        <item x="33"/>
        <item x="34"/>
        <item x="78"/>
        <item x="20"/>
        <item x="82"/>
        <item x="95"/>
        <item x="9"/>
        <item x="4"/>
        <item x="38"/>
        <item x="68"/>
        <item x="90"/>
        <item x="54"/>
        <item x="79"/>
        <item x="80"/>
        <item x="89"/>
        <item x="81"/>
        <item x="69"/>
        <item x="45"/>
        <item x="48"/>
        <item x="5"/>
        <item x="17"/>
        <item x="44"/>
        <item x="0"/>
        <item x="35"/>
        <item x="46"/>
        <item x="26"/>
        <item x="63"/>
        <item x="27"/>
        <item x="65"/>
        <item x="13"/>
        <item x="24"/>
        <item x="84"/>
        <item x="21"/>
        <item x="59"/>
        <item x="73"/>
        <item x="12"/>
        <item x="51"/>
        <item x="28"/>
        <item x="98"/>
        <item x="19"/>
        <item x="50"/>
        <item x="75"/>
        <item x="96"/>
        <item x="53"/>
        <item x="77"/>
        <item x="23"/>
        <item m="1" x="99"/>
        <item x="2"/>
        <item x="8"/>
        <item x="70"/>
        <item x="15"/>
        <item x="88"/>
        <item x="66"/>
        <item x="11"/>
        <item x="36"/>
        <item x="91"/>
        <item x="64"/>
        <item x="56"/>
        <item x="16"/>
        <item x="32"/>
        <item x="40"/>
        <item x="87"/>
        <item x="60"/>
        <item x="52"/>
        <item x="47"/>
        <item x="7"/>
        <item x="71"/>
        <item x="3"/>
        <item x="29"/>
        <item x="1"/>
        <item x="25"/>
        <item x="10"/>
        <item x="61"/>
        <item x="67"/>
        <item x="97"/>
        <item x="39"/>
        <item x="72"/>
        <item x="49"/>
        <item x="22"/>
        <item x="31"/>
        <item x="62"/>
        <item x="57"/>
        <item x="6"/>
        <item x="37"/>
        <item x="55"/>
        <item x="18"/>
        <item x="92"/>
        <item x="43"/>
        <item x="14"/>
        <item x="74"/>
        <item x="85"/>
        <item x="58"/>
        <item x="86"/>
        <item x="42"/>
        <item x="83"/>
        <item x="30"/>
        <item x="93"/>
        <item t="default"/>
      </items>
    </pivotField>
    <pivotField showAll="0">
      <items count="9">
        <item h="1" x="7"/>
        <item h="1" x="0"/>
        <item x="1"/>
        <item h="1" x="4"/>
        <item h="1" x="3"/>
        <item h="1" x="6"/>
        <item h="1" x="2"/>
        <item h="1" x="5"/>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10">
    <i>
      <x v="5"/>
    </i>
    <i>
      <x v="12"/>
    </i>
    <i>
      <x v="30"/>
    </i>
    <i>
      <x v="34"/>
    </i>
    <i>
      <x v="37"/>
    </i>
    <i>
      <x v="43"/>
    </i>
    <i>
      <x v="66"/>
    </i>
    <i>
      <x v="82"/>
    </i>
    <i>
      <x v="93"/>
    </i>
    <i>
      <x v="94"/>
    </i>
  </rowItems>
  <colItems count="1">
    <i/>
  </colItems>
  <dataFields count="1">
    <dataField name="Target Hit % wise" fld="10" baseField="1" baseItem="5" numFmtId="10"/>
  </dataFields>
  <formats count="1">
    <format dxfId="77">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0A36C7-2F16-45C9-9988-A28508981D15}" name="PivotTable2" cacheId="3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13" firstHeaderRow="1" firstDataRow="1" firstDataCol="1"/>
  <pivotFields count="12">
    <pivotField showAll="0"/>
    <pivotField axis="axisRow" showAll="0" measureFilter="1">
      <items count="101">
        <item x="76"/>
        <item x="41"/>
        <item x="94"/>
        <item x="33"/>
        <item x="34"/>
        <item x="78"/>
        <item x="20"/>
        <item x="82"/>
        <item x="95"/>
        <item x="9"/>
        <item x="4"/>
        <item x="38"/>
        <item x="68"/>
        <item x="90"/>
        <item x="54"/>
        <item x="79"/>
        <item x="80"/>
        <item x="89"/>
        <item x="81"/>
        <item x="69"/>
        <item x="45"/>
        <item x="48"/>
        <item x="5"/>
        <item x="17"/>
        <item x="44"/>
        <item x="0"/>
        <item x="35"/>
        <item x="46"/>
        <item x="26"/>
        <item x="63"/>
        <item x="27"/>
        <item x="65"/>
        <item x="13"/>
        <item x="24"/>
        <item x="84"/>
        <item x="21"/>
        <item x="59"/>
        <item x="73"/>
        <item x="12"/>
        <item x="51"/>
        <item x="28"/>
        <item x="98"/>
        <item x="19"/>
        <item x="50"/>
        <item x="75"/>
        <item x="96"/>
        <item x="53"/>
        <item x="77"/>
        <item x="23"/>
        <item m="1" x="99"/>
        <item x="2"/>
        <item x="8"/>
        <item x="70"/>
        <item x="15"/>
        <item x="88"/>
        <item x="66"/>
        <item x="11"/>
        <item x="36"/>
        <item x="91"/>
        <item x="64"/>
        <item x="56"/>
        <item x="16"/>
        <item x="32"/>
        <item x="40"/>
        <item x="87"/>
        <item x="60"/>
        <item x="52"/>
        <item x="47"/>
        <item x="7"/>
        <item x="71"/>
        <item x="3"/>
        <item x="29"/>
        <item x="1"/>
        <item x="25"/>
        <item x="10"/>
        <item x="61"/>
        <item x="67"/>
        <item x="97"/>
        <item x="39"/>
        <item x="72"/>
        <item x="49"/>
        <item x="22"/>
        <item x="31"/>
        <item x="62"/>
        <item x="57"/>
        <item x="6"/>
        <item x="37"/>
        <item x="55"/>
        <item x="18"/>
        <item x="92"/>
        <item x="43"/>
        <item x="14"/>
        <item x="74"/>
        <item x="85"/>
        <item x="58"/>
        <item x="86"/>
        <item x="42"/>
        <item x="83"/>
        <item x="30"/>
        <item x="93"/>
        <item t="default"/>
      </items>
    </pivotField>
    <pivotField showAll="0">
      <items count="9">
        <item h="1" x="7"/>
        <item h="1" x="0"/>
        <item x="1"/>
        <item h="1" x="4"/>
        <item h="1" x="3"/>
        <item h="1" x="6"/>
        <item h="1" x="2"/>
        <item h="1" x="5"/>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10">
    <i>
      <x v="12"/>
    </i>
    <i>
      <x v="19"/>
    </i>
    <i>
      <x v="31"/>
    </i>
    <i>
      <x v="32"/>
    </i>
    <i>
      <x v="37"/>
    </i>
    <i>
      <x v="43"/>
    </i>
    <i>
      <x v="72"/>
    </i>
    <i>
      <x v="93"/>
    </i>
    <i>
      <x v="94"/>
    </i>
    <i>
      <x v="96"/>
    </i>
  </rowItems>
  <colItems count="1">
    <i/>
  </colItems>
  <dataFields count="1">
    <dataField name="Total Sales " fld="8" baseField="1" baseItem="11"/>
  </dataFields>
  <pivotTableStyleInfo name="PivotStyleMedium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2D7B8D-9C5B-4B8D-BA2F-F3F44770607D}" name="PivotTable1" cacheId="3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13" firstHeaderRow="1" firstDataRow="1" firstDataCol="1"/>
  <pivotFields count="12">
    <pivotField showAll="0"/>
    <pivotField axis="axisRow" showAll="0" measureFilter="1">
      <items count="101">
        <item x="76"/>
        <item x="41"/>
        <item x="94"/>
        <item x="33"/>
        <item x="34"/>
        <item x="78"/>
        <item x="20"/>
        <item x="82"/>
        <item x="95"/>
        <item x="9"/>
        <item x="4"/>
        <item x="38"/>
        <item x="68"/>
        <item x="90"/>
        <item x="54"/>
        <item x="79"/>
        <item x="80"/>
        <item x="89"/>
        <item x="81"/>
        <item x="69"/>
        <item x="45"/>
        <item x="48"/>
        <item x="5"/>
        <item x="17"/>
        <item x="44"/>
        <item x="0"/>
        <item x="35"/>
        <item x="46"/>
        <item x="26"/>
        <item x="63"/>
        <item x="27"/>
        <item x="65"/>
        <item x="13"/>
        <item x="24"/>
        <item x="84"/>
        <item x="21"/>
        <item x="59"/>
        <item x="73"/>
        <item x="12"/>
        <item x="51"/>
        <item x="28"/>
        <item x="98"/>
        <item x="19"/>
        <item x="50"/>
        <item x="75"/>
        <item x="96"/>
        <item x="53"/>
        <item x="77"/>
        <item x="23"/>
        <item m="1" x="99"/>
        <item x="2"/>
        <item x="8"/>
        <item x="70"/>
        <item x="15"/>
        <item x="88"/>
        <item x="66"/>
        <item x="11"/>
        <item x="36"/>
        <item x="91"/>
        <item x="64"/>
        <item x="56"/>
        <item x="16"/>
        <item x="32"/>
        <item x="40"/>
        <item x="87"/>
        <item x="60"/>
        <item x="52"/>
        <item x="47"/>
        <item x="7"/>
        <item x="71"/>
        <item x="3"/>
        <item x="29"/>
        <item x="1"/>
        <item x="25"/>
        <item x="10"/>
        <item x="61"/>
        <item x="67"/>
        <item x="97"/>
        <item x="39"/>
        <item x="72"/>
        <item x="49"/>
        <item x="22"/>
        <item x="31"/>
        <item x="62"/>
        <item x="57"/>
        <item x="6"/>
        <item x="37"/>
        <item x="55"/>
        <item x="18"/>
        <item x="92"/>
        <item x="43"/>
        <item x="14"/>
        <item x="74"/>
        <item x="85"/>
        <item x="58"/>
        <item x="86"/>
        <item x="42"/>
        <item x="83"/>
        <item x="30"/>
        <item x="93"/>
        <item t="default"/>
      </items>
    </pivotField>
    <pivotField showAll="0">
      <items count="9">
        <item h="1" x="7"/>
        <item h="1" x="0"/>
        <item x="1"/>
        <item h="1" x="4"/>
        <item h="1" x="3"/>
        <item h="1" x="6"/>
        <item h="1" x="2"/>
        <item h="1" x="5"/>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10">
    <i>
      <x v="5"/>
    </i>
    <i>
      <x v="12"/>
    </i>
    <i>
      <x v="30"/>
    </i>
    <i>
      <x v="34"/>
    </i>
    <i>
      <x v="37"/>
    </i>
    <i>
      <x v="43"/>
    </i>
    <i>
      <x v="66"/>
    </i>
    <i>
      <x v="82"/>
    </i>
    <i>
      <x v="93"/>
    </i>
    <i>
      <x v="94"/>
    </i>
  </rowItems>
  <colItems count="1">
    <i/>
  </colItems>
  <dataFields count="1">
    <dataField name="Total Sales " fld="8" baseField="1" baseItem="11"/>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81C3A5D-87D1-497C-993E-733931AB9ECD}" sourceName="Region">
  <pivotTables>
    <pivotTable tabId="2" name="PivotTable6"/>
    <pivotTable tabId="2" name="PivotTable2"/>
    <pivotTable tabId="2" name="PivotTable1"/>
    <pivotTable tabId="2" name="PivotTable5"/>
  </pivotTables>
  <data>
    <tabular pivotCacheId="1650702758">
      <items count="8">
        <i x="7"/>
        <i x="0"/>
        <i x="1" s="1"/>
        <i x="4"/>
        <i x="3"/>
        <i x="6"/>
        <i x="2"/>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A03291F-B1BE-4945-B2D8-64627169FE37}" cache="Slicer_Region" caption="Region" columnCount="8" showCaption="0" style="Slicer Style 2" rowHeight="3240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0045C-1B28-44BC-92A1-C75A90255D6C}">
  <sheetPr codeName="Sheet1"/>
  <dimension ref="A1:K47"/>
  <sheetViews>
    <sheetView tabSelected="1" zoomScale="129" zoomScaleNormal="100" workbookViewId="0">
      <selection activeCell="H11" sqref="H11"/>
    </sheetView>
  </sheetViews>
  <sheetFormatPr defaultRowHeight="15" x14ac:dyDescent="0.25"/>
  <cols>
    <col min="1" max="1" width="26.140625" customWidth="1"/>
    <col min="2" max="2" width="22" customWidth="1"/>
    <col min="3" max="3" width="2.5703125" customWidth="1"/>
    <col min="4" max="4" width="24.5703125" customWidth="1"/>
    <col min="5" max="5" width="24.42578125" customWidth="1"/>
    <col min="6" max="6" width="2.85546875" customWidth="1"/>
    <col min="7" max="7" width="23" customWidth="1"/>
    <col min="8" max="8" width="24.140625" customWidth="1"/>
    <col min="9" max="9" width="3.140625" customWidth="1"/>
    <col min="10" max="10" width="25.85546875" customWidth="1"/>
    <col min="11" max="11" width="26.5703125" customWidth="1"/>
    <col min="12" max="89" width="7.140625" bestFit="1" customWidth="1"/>
    <col min="90" max="90" width="11.28515625" bestFit="1" customWidth="1"/>
  </cols>
  <sheetData>
    <row r="1" spans="1:11" s="10" customFormat="1" ht="12.75" customHeight="1" x14ac:dyDescent="0.25">
      <c r="A1" s="10" t="b">
        <v>1</v>
      </c>
      <c r="D1" s="10" t="b">
        <v>1</v>
      </c>
      <c r="G1" s="10" t="b">
        <v>1</v>
      </c>
      <c r="J1" s="10" t="b">
        <v>1</v>
      </c>
    </row>
    <row r="2" spans="1:11" ht="53.25" customHeight="1" x14ac:dyDescent="0.25">
      <c r="A2" s="10" t="b">
        <v>0</v>
      </c>
      <c r="B2" s="10"/>
      <c r="C2" s="10"/>
      <c r="D2" s="10" t="b">
        <v>0</v>
      </c>
      <c r="E2" s="10"/>
      <c r="F2" s="10"/>
      <c r="G2" s="10" t="b">
        <v>1</v>
      </c>
      <c r="H2" s="10"/>
      <c r="I2" s="10"/>
      <c r="J2" s="10" t="b">
        <v>0</v>
      </c>
      <c r="K2" s="10"/>
    </row>
    <row r="3" spans="1:11" x14ac:dyDescent="0.25">
      <c r="A3" s="3" t="s">
        <v>1</v>
      </c>
      <c r="B3" t="s">
        <v>218</v>
      </c>
      <c r="C3" s="10"/>
      <c r="D3" s="3" t="s">
        <v>1</v>
      </c>
      <c r="E3" t="s">
        <v>218</v>
      </c>
      <c r="F3" s="10"/>
      <c r="G3" s="3" t="s">
        <v>1</v>
      </c>
      <c r="H3" t="s">
        <v>220</v>
      </c>
      <c r="I3" s="10"/>
      <c r="J3" s="3" t="s">
        <v>1</v>
      </c>
      <c r="K3" t="s">
        <v>221</v>
      </c>
    </row>
    <row r="4" spans="1:11" x14ac:dyDescent="0.25">
      <c r="A4" s="4" t="s">
        <v>189</v>
      </c>
      <c r="B4" s="5">
        <v>297</v>
      </c>
      <c r="C4" s="10"/>
      <c r="D4" s="4" t="s">
        <v>179</v>
      </c>
      <c r="E4" s="5">
        <v>283</v>
      </c>
      <c r="F4" s="10"/>
      <c r="G4" s="4" t="s">
        <v>189</v>
      </c>
      <c r="H4" s="6">
        <v>0.59399999999999997</v>
      </c>
      <c r="I4" s="10"/>
      <c r="J4" s="4" t="s">
        <v>179</v>
      </c>
      <c r="K4" s="6">
        <v>0.434</v>
      </c>
    </row>
    <row r="5" spans="1:11" x14ac:dyDescent="0.25">
      <c r="A5" s="4" t="s">
        <v>179</v>
      </c>
      <c r="B5" s="5">
        <v>283</v>
      </c>
      <c r="C5" s="10"/>
      <c r="D5" s="4" t="s">
        <v>180</v>
      </c>
      <c r="E5" s="5">
        <v>213</v>
      </c>
      <c r="F5" s="10"/>
      <c r="G5" s="4" t="s">
        <v>179</v>
      </c>
      <c r="H5" s="6">
        <v>0.56599999999999995</v>
      </c>
      <c r="I5" s="10"/>
      <c r="J5" s="4" t="s">
        <v>180</v>
      </c>
      <c r="K5" s="6">
        <v>0.57399999999999995</v>
      </c>
    </row>
    <row r="6" spans="1:11" x14ac:dyDescent="0.25">
      <c r="A6" s="4" t="s">
        <v>138</v>
      </c>
      <c r="B6" s="5">
        <v>299</v>
      </c>
      <c r="C6" s="10"/>
      <c r="D6" s="4" t="s">
        <v>176</v>
      </c>
      <c r="E6" s="5">
        <v>240</v>
      </c>
      <c r="F6" s="10"/>
      <c r="G6" s="4" t="s">
        <v>138</v>
      </c>
      <c r="H6" s="6">
        <v>0.59799999999999998</v>
      </c>
      <c r="I6" s="10"/>
      <c r="J6" s="4" t="s">
        <v>176</v>
      </c>
      <c r="K6" s="6">
        <v>0.52</v>
      </c>
    </row>
    <row r="7" spans="1:11" x14ac:dyDescent="0.25">
      <c r="A7" s="4" t="s">
        <v>195</v>
      </c>
      <c r="B7" s="5">
        <v>311</v>
      </c>
      <c r="C7" s="10"/>
      <c r="D7" s="4" t="s">
        <v>124</v>
      </c>
      <c r="E7" s="5">
        <v>244</v>
      </c>
      <c r="F7" s="10"/>
      <c r="G7" s="4" t="s">
        <v>195</v>
      </c>
      <c r="H7" s="6">
        <v>0.622</v>
      </c>
      <c r="I7" s="10"/>
      <c r="J7" s="4" t="s">
        <v>124</v>
      </c>
      <c r="K7" s="6">
        <v>0.51200000000000001</v>
      </c>
    </row>
    <row r="8" spans="1:11" x14ac:dyDescent="0.25">
      <c r="A8" s="4" t="s">
        <v>184</v>
      </c>
      <c r="B8" s="5">
        <v>294</v>
      </c>
      <c r="C8" s="10"/>
      <c r="D8" s="4" t="s">
        <v>184</v>
      </c>
      <c r="E8" s="5">
        <v>294</v>
      </c>
      <c r="F8" s="10"/>
      <c r="G8" s="4" t="s">
        <v>184</v>
      </c>
      <c r="H8" s="6">
        <v>0.58799999999999997</v>
      </c>
      <c r="I8" s="10"/>
      <c r="J8" s="4" t="s">
        <v>184</v>
      </c>
      <c r="K8" s="6">
        <v>0.41199999999999998</v>
      </c>
    </row>
    <row r="9" spans="1:11" x14ac:dyDescent="0.25">
      <c r="A9" s="4" t="s">
        <v>161</v>
      </c>
      <c r="B9" s="5">
        <v>271</v>
      </c>
      <c r="C9" s="10"/>
      <c r="D9" s="4" t="s">
        <v>161</v>
      </c>
      <c r="E9" s="5">
        <v>271</v>
      </c>
      <c r="F9" s="10"/>
      <c r="G9" s="4" t="s">
        <v>161</v>
      </c>
      <c r="H9" s="6">
        <v>0.54200000000000004</v>
      </c>
      <c r="I9" s="10"/>
      <c r="J9" s="4" t="s">
        <v>161</v>
      </c>
      <c r="K9" s="6">
        <v>0.45800000000000002</v>
      </c>
    </row>
    <row r="10" spans="1:11" x14ac:dyDescent="0.25">
      <c r="A10" s="4" t="s">
        <v>163</v>
      </c>
      <c r="B10" s="5">
        <v>359</v>
      </c>
      <c r="C10" s="10"/>
      <c r="D10" s="4" t="s">
        <v>112</v>
      </c>
      <c r="E10" s="5">
        <v>221</v>
      </c>
      <c r="F10" s="10"/>
      <c r="G10" s="4" t="s">
        <v>163</v>
      </c>
      <c r="H10" s="6">
        <v>0.71799999999999997</v>
      </c>
      <c r="I10" s="10"/>
      <c r="J10" s="4" t="s">
        <v>112</v>
      </c>
      <c r="K10" s="6">
        <v>0.55800000000000005</v>
      </c>
    </row>
    <row r="11" spans="1:11" x14ac:dyDescent="0.25">
      <c r="A11" s="4" t="s">
        <v>142</v>
      </c>
      <c r="B11" s="5">
        <v>328</v>
      </c>
      <c r="C11" s="10"/>
      <c r="D11" s="4" t="s">
        <v>196</v>
      </c>
      <c r="E11" s="5">
        <v>245</v>
      </c>
      <c r="F11" s="10"/>
      <c r="G11" s="4" t="s">
        <v>142</v>
      </c>
      <c r="H11" s="6">
        <v>0.65600000000000003</v>
      </c>
      <c r="I11" s="10"/>
      <c r="J11" s="4" t="s">
        <v>196</v>
      </c>
      <c r="K11" s="6">
        <v>0.51</v>
      </c>
    </row>
    <row r="12" spans="1:11" x14ac:dyDescent="0.25">
      <c r="A12" s="4" t="s">
        <v>196</v>
      </c>
      <c r="B12" s="5">
        <v>245</v>
      </c>
      <c r="C12" s="10"/>
      <c r="D12" s="4" t="s">
        <v>169</v>
      </c>
      <c r="E12" s="5">
        <v>254</v>
      </c>
      <c r="F12" s="10"/>
      <c r="G12" s="4" t="s">
        <v>196</v>
      </c>
      <c r="H12" s="6">
        <v>0.49</v>
      </c>
      <c r="I12" s="10"/>
      <c r="J12" s="4" t="s">
        <v>169</v>
      </c>
      <c r="K12" s="6">
        <v>0.49199999999999999</v>
      </c>
    </row>
    <row r="13" spans="1:11" x14ac:dyDescent="0.25">
      <c r="A13" s="4" t="s">
        <v>169</v>
      </c>
      <c r="B13" s="5">
        <v>254</v>
      </c>
      <c r="C13" s="10"/>
      <c r="D13" s="4" t="s">
        <v>153</v>
      </c>
      <c r="E13" s="5">
        <v>151</v>
      </c>
      <c r="F13" s="10"/>
      <c r="G13" s="4" t="s">
        <v>169</v>
      </c>
      <c r="H13" s="6">
        <v>0.50800000000000001</v>
      </c>
      <c r="I13" s="10"/>
      <c r="J13" s="4" t="s">
        <v>153</v>
      </c>
      <c r="K13" s="6">
        <v>0.69799999999999995</v>
      </c>
    </row>
    <row r="14" spans="1:11" x14ac:dyDescent="0.25">
      <c r="A14" s="10"/>
      <c r="B14" s="10"/>
      <c r="C14" s="10"/>
      <c r="D14" s="10"/>
      <c r="E14" s="10"/>
      <c r="F14" s="10"/>
      <c r="G14" s="10"/>
      <c r="H14" s="10"/>
      <c r="I14" s="10"/>
      <c r="J14" s="10"/>
      <c r="K14" s="10"/>
    </row>
    <row r="15" spans="1:11" x14ac:dyDescent="0.25">
      <c r="A15" s="10"/>
      <c r="B15" s="10"/>
      <c r="C15" s="10"/>
      <c r="D15" s="10"/>
      <c r="E15" s="10"/>
      <c r="F15" s="10"/>
      <c r="G15" s="10"/>
      <c r="H15" s="10"/>
      <c r="I15" s="10"/>
      <c r="J15" s="10"/>
      <c r="K15" s="10"/>
    </row>
    <row r="16" spans="1:11" x14ac:dyDescent="0.25">
      <c r="A16" s="10"/>
      <c r="B16" s="10"/>
      <c r="C16" s="10"/>
      <c r="D16" s="10"/>
      <c r="E16" s="10"/>
      <c r="F16" s="10"/>
      <c r="G16" s="10"/>
      <c r="H16" s="10"/>
      <c r="I16" s="10"/>
      <c r="J16" s="10"/>
      <c r="K16" s="10"/>
    </row>
    <row r="17" spans="1:11" x14ac:dyDescent="0.25">
      <c r="A17" s="10"/>
      <c r="B17" s="10"/>
      <c r="C17" s="10"/>
      <c r="D17" s="10"/>
      <c r="E17" s="10"/>
      <c r="F17" s="10"/>
      <c r="G17" s="10"/>
      <c r="H17" s="10"/>
      <c r="I17" s="10"/>
      <c r="J17" s="10"/>
      <c r="K17" s="10"/>
    </row>
    <row r="18" spans="1:11" x14ac:dyDescent="0.25">
      <c r="A18" s="10"/>
      <c r="B18" s="10"/>
      <c r="C18" s="10"/>
      <c r="D18" s="10"/>
      <c r="E18" s="10"/>
      <c r="F18" s="10"/>
      <c r="G18" s="10"/>
      <c r="H18" s="10"/>
      <c r="I18" s="10"/>
      <c r="J18" s="10"/>
      <c r="K18" s="10"/>
    </row>
    <row r="19" spans="1:11" x14ac:dyDescent="0.25">
      <c r="A19" s="10"/>
      <c r="B19" s="10"/>
      <c r="C19" s="10"/>
      <c r="D19" s="10"/>
      <c r="E19" s="10"/>
      <c r="F19" s="10"/>
      <c r="G19" s="10"/>
      <c r="H19" s="10"/>
      <c r="I19" s="10"/>
      <c r="J19" s="10"/>
      <c r="K19" s="10"/>
    </row>
    <row r="20" spans="1:11" x14ac:dyDescent="0.25">
      <c r="A20" s="10"/>
      <c r="B20" s="10"/>
      <c r="C20" s="10"/>
      <c r="D20" s="10"/>
      <c r="E20" s="10"/>
      <c r="F20" s="10"/>
      <c r="G20" s="10"/>
      <c r="H20" s="10"/>
      <c r="I20" s="10"/>
      <c r="J20" s="10"/>
      <c r="K20" s="10"/>
    </row>
    <row r="21" spans="1:11" x14ac:dyDescent="0.25">
      <c r="A21" s="10"/>
      <c r="B21" s="10"/>
      <c r="C21" s="10"/>
      <c r="D21" s="10"/>
      <c r="E21" s="10"/>
      <c r="F21" s="10"/>
      <c r="G21" s="10"/>
      <c r="H21" s="10"/>
      <c r="I21" s="10"/>
      <c r="J21" s="10"/>
      <c r="K21" s="10"/>
    </row>
    <row r="22" spans="1:11" x14ac:dyDescent="0.25">
      <c r="A22" s="10"/>
      <c r="B22" s="10"/>
      <c r="C22" s="10"/>
      <c r="D22" s="10"/>
      <c r="E22" s="10"/>
      <c r="F22" s="10"/>
      <c r="G22" s="10"/>
      <c r="H22" s="10"/>
      <c r="I22" s="10"/>
      <c r="J22" s="10"/>
      <c r="K22" s="10"/>
    </row>
    <row r="23" spans="1:11" x14ac:dyDescent="0.25">
      <c r="A23" s="10"/>
      <c r="B23" s="10"/>
      <c r="C23" s="10"/>
      <c r="D23" s="10"/>
      <c r="E23" s="10"/>
      <c r="F23" s="10"/>
      <c r="G23" s="10"/>
      <c r="H23" s="10"/>
      <c r="I23" s="10"/>
      <c r="J23" s="10"/>
      <c r="K23" s="10"/>
    </row>
    <row r="24" spans="1:11" x14ac:dyDescent="0.25">
      <c r="A24" s="10"/>
      <c r="B24" s="10"/>
      <c r="C24" s="10"/>
      <c r="D24" s="10"/>
      <c r="E24" s="10"/>
      <c r="F24" s="10"/>
      <c r="G24" s="10"/>
      <c r="H24" s="10"/>
      <c r="I24" s="10"/>
      <c r="J24" s="10"/>
      <c r="K24" s="10"/>
    </row>
    <row r="25" spans="1:11" x14ac:dyDescent="0.25">
      <c r="A25" s="10"/>
      <c r="B25" s="10"/>
      <c r="C25" s="10"/>
      <c r="D25" s="10"/>
      <c r="E25" s="10"/>
      <c r="F25" s="10"/>
      <c r="G25" s="10"/>
      <c r="H25" s="10"/>
      <c r="I25" s="10"/>
      <c r="J25" s="10"/>
      <c r="K25" s="10"/>
    </row>
    <row r="26" spans="1:11" x14ac:dyDescent="0.25">
      <c r="A26" s="10"/>
      <c r="B26" s="10"/>
      <c r="C26" s="10"/>
      <c r="D26" s="10"/>
      <c r="E26" s="10"/>
      <c r="F26" s="10"/>
      <c r="G26" s="10"/>
      <c r="H26" s="10"/>
      <c r="I26" s="10"/>
      <c r="J26" s="10"/>
      <c r="K26" s="10"/>
    </row>
    <row r="27" spans="1:11" x14ac:dyDescent="0.25">
      <c r="A27" s="10"/>
      <c r="B27" s="10"/>
      <c r="C27" s="10"/>
      <c r="D27" s="10"/>
      <c r="E27" s="10"/>
      <c r="F27" s="10"/>
      <c r="G27" s="10"/>
      <c r="H27" s="10"/>
      <c r="I27" s="10"/>
      <c r="J27" s="10"/>
      <c r="K27" s="10"/>
    </row>
    <row r="28" spans="1:11" x14ac:dyDescent="0.25">
      <c r="A28" s="10"/>
      <c r="B28" s="10"/>
      <c r="C28" s="10"/>
      <c r="D28" s="10"/>
      <c r="E28" s="10"/>
      <c r="F28" s="10"/>
      <c r="G28" s="10"/>
      <c r="H28" s="10"/>
      <c r="I28" s="10"/>
      <c r="J28" s="10"/>
      <c r="K28" s="10"/>
    </row>
    <row r="29" spans="1:11" x14ac:dyDescent="0.25">
      <c r="A29" s="10"/>
      <c r="B29" s="10"/>
      <c r="C29" s="10"/>
      <c r="D29" s="10"/>
      <c r="E29" s="10"/>
      <c r="F29" s="10"/>
      <c r="G29" s="10"/>
      <c r="H29" s="10"/>
      <c r="I29" s="10"/>
      <c r="J29" s="10"/>
      <c r="K29" s="10"/>
    </row>
    <row r="30" spans="1:11" x14ac:dyDescent="0.25">
      <c r="A30" s="10"/>
      <c r="B30" s="10"/>
      <c r="C30" s="10"/>
      <c r="D30" s="10"/>
      <c r="E30" s="10"/>
      <c r="F30" s="10"/>
      <c r="G30" s="10"/>
      <c r="H30" s="10"/>
      <c r="I30" s="10"/>
      <c r="J30" s="10"/>
      <c r="K30" s="10"/>
    </row>
    <row r="31" spans="1:11" x14ac:dyDescent="0.25">
      <c r="A31" s="10"/>
      <c r="B31" s="10"/>
      <c r="C31" s="10"/>
      <c r="D31" s="10"/>
      <c r="E31" s="10"/>
      <c r="F31" s="10"/>
      <c r="G31" s="10"/>
      <c r="H31" s="10"/>
      <c r="I31" s="10"/>
      <c r="J31" s="10"/>
      <c r="K31" s="10"/>
    </row>
    <row r="32" spans="1:11" x14ac:dyDescent="0.25">
      <c r="A32" s="10"/>
      <c r="B32" s="10"/>
      <c r="C32" s="10"/>
      <c r="D32" s="10"/>
      <c r="E32" s="10"/>
      <c r="F32" s="10"/>
      <c r="G32" s="10"/>
      <c r="H32" s="10"/>
      <c r="I32" s="10"/>
      <c r="J32" s="10"/>
      <c r="K32" s="10"/>
    </row>
    <row r="33" spans="1:11" x14ac:dyDescent="0.25">
      <c r="A33" s="10"/>
      <c r="B33" s="10"/>
      <c r="C33" s="10"/>
      <c r="D33" s="10"/>
      <c r="E33" s="10"/>
      <c r="F33" s="10"/>
      <c r="G33" s="10"/>
      <c r="H33" s="10"/>
      <c r="I33" s="10"/>
      <c r="J33" s="10"/>
      <c r="K33" s="10"/>
    </row>
    <row r="34" spans="1:11" x14ac:dyDescent="0.25">
      <c r="A34" s="10"/>
      <c r="B34" s="10"/>
      <c r="C34" s="10"/>
      <c r="D34" s="10"/>
      <c r="E34" s="10"/>
      <c r="F34" s="10"/>
      <c r="G34" s="10"/>
      <c r="H34" s="10"/>
      <c r="I34" s="10"/>
      <c r="J34" s="10"/>
      <c r="K34" s="10"/>
    </row>
    <row r="35" spans="1:11" x14ac:dyDescent="0.25">
      <c r="A35" s="10"/>
      <c r="B35" s="10"/>
      <c r="C35" s="10"/>
      <c r="D35" s="10"/>
      <c r="E35" s="10"/>
      <c r="F35" s="10"/>
      <c r="G35" s="10"/>
      <c r="H35" s="10"/>
      <c r="I35" s="10"/>
      <c r="J35" s="10"/>
      <c r="K35" s="10"/>
    </row>
    <row r="36" spans="1:11" x14ac:dyDescent="0.25">
      <c r="A36" s="10"/>
      <c r="B36" s="10"/>
      <c r="C36" s="10"/>
      <c r="D36" s="10"/>
      <c r="E36" s="10"/>
      <c r="F36" s="10"/>
      <c r="G36" s="10"/>
      <c r="H36" s="10"/>
      <c r="I36" s="10"/>
      <c r="J36" s="10"/>
      <c r="K36" s="10"/>
    </row>
    <row r="37" spans="1:11" x14ac:dyDescent="0.25">
      <c r="A37" s="10"/>
      <c r="B37" s="10"/>
      <c r="C37" s="10"/>
      <c r="D37" s="10"/>
      <c r="E37" s="10"/>
      <c r="F37" s="10"/>
      <c r="G37" s="10"/>
      <c r="H37" s="10"/>
      <c r="I37" s="10"/>
      <c r="J37" s="10"/>
      <c r="K37" s="10"/>
    </row>
    <row r="38" spans="1:11" x14ac:dyDescent="0.25">
      <c r="A38" s="10"/>
      <c r="B38" s="10"/>
      <c r="C38" s="10"/>
      <c r="D38" s="10"/>
      <c r="E38" s="10"/>
      <c r="F38" s="10"/>
      <c r="G38" s="10"/>
      <c r="H38" s="10"/>
      <c r="I38" s="10"/>
      <c r="J38" s="10"/>
      <c r="K38" s="10"/>
    </row>
    <row r="39" spans="1:11" x14ac:dyDescent="0.25">
      <c r="A39" s="10"/>
      <c r="B39" s="10"/>
      <c r="C39" s="10"/>
      <c r="D39" s="10"/>
      <c r="E39" s="10"/>
      <c r="F39" s="10"/>
      <c r="G39" s="10"/>
      <c r="H39" s="10"/>
      <c r="I39" s="10"/>
      <c r="J39" s="10"/>
      <c r="K39" s="10"/>
    </row>
    <row r="40" spans="1:11" x14ac:dyDescent="0.25">
      <c r="A40" s="10"/>
      <c r="B40" s="10"/>
      <c r="C40" s="10"/>
      <c r="D40" s="10"/>
      <c r="E40" s="10"/>
      <c r="F40" s="10"/>
      <c r="G40" s="10"/>
      <c r="H40" s="10"/>
      <c r="I40" s="10"/>
      <c r="J40" s="10"/>
      <c r="K40" s="10"/>
    </row>
    <row r="41" spans="1:11" x14ac:dyDescent="0.25">
      <c r="A41" s="10"/>
      <c r="B41" s="10"/>
      <c r="C41" s="10"/>
      <c r="D41" s="10"/>
      <c r="E41" s="10"/>
      <c r="F41" s="10"/>
      <c r="G41" s="10"/>
      <c r="H41" s="10"/>
      <c r="I41" s="10"/>
      <c r="J41" s="10"/>
      <c r="K41" s="10"/>
    </row>
    <row r="42" spans="1:11" x14ac:dyDescent="0.25">
      <c r="A42" s="10"/>
      <c r="B42" s="10"/>
      <c r="C42" s="10"/>
      <c r="D42" s="10"/>
      <c r="E42" s="10"/>
      <c r="F42" s="10"/>
      <c r="G42" s="10"/>
      <c r="H42" s="10"/>
      <c r="I42" s="10"/>
      <c r="J42" s="10"/>
      <c r="K42" s="10"/>
    </row>
    <row r="43" spans="1:11" x14ac:dyDescent="0.25">
      <c r="A43" s="10"/>
      <c r="B43" s="10"/>
      <c r="C43" s="10"/>
      <c r="D43" s="10"/>
      <c r="E43" s="10"/>
      <c r="F43" s="10"/>
      <c r="G43" s="10"/>
      <c r="H43" s="10"/>
      <c r="I43" s="10"/>
      <c r="J43" s="10"/>
      <c r="K43" s="10"/>
    </row>
    <row r="44" spans="1:11" x14ac:dyDescent="0.25">
      <c r="A44" s="10"/>
      <c r="B44" s="10"/>
      <c r="C44" s="10"/>
      <c r="D44" s="10"/>
      <c r="E44" s="10"/>
      <c r="F44" s="10"/>
      <c r="G44" s="10"/>
      <c r="H44" s="10"/>
      <c r="I44" s="10"/>
      <c r="J44" s="10"/>
      <c r="K44" s="10"/>
    </row>
    <row r="45" spans="1:11" x14ac:dyDescent="0.25">
      <c r="A45" s="10"/>
      <c r="B45" s="10"/>
      <c r="C45" s="10"/>
      <c r="D45" s="10"/>
      <c r="E45" s="10"/>
      <c r="F45" s="10"/>
      <c r="G45" s="10"/>
      <c r="H45" s="10"/>
      <c r="I45" s="10"/>
      <c r="J45" s="10"/>
      <c r="K45" s="10"/>
    </row>
    <row r="46" spans="1:11" x14ac:dyDescent="0.25">
      <c r="A46" s="10"/>
      <c r="B46" s="10"/>
      <c r="C46" s="10"/>
      <c r="D46" s="10"/>
      <c r="E46" s="10"/>
      <c r="F46" s="10"/>
      <c r="G46" s="10"/>
      <c r="H46" s="10"/>
      <c r="I46" s="10"/>
      <c r="J46" s="10"/>
      <c r="K46" s="10"/>
    </row>
    <row r="47" spans="1:11" x14ac:dyDescent="0.25">
      <c r="A47" s="10"/>
      <c r="B47" s="10"/>
      <c r="C47" s="10"/>
      <c r="D47" s="10"/>
      <c r="E47" s="10"/>
      <c r="F47" s="10"/>
      <c r="G47" s="10"/>
      <c r="H47" s="10"/>
      <c r="I47" s="10"/>
      <c r="J47" s="10"/>
      <c r="K47" s="10"/>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1" r:id="rId8" name="Check Box 3">
              <controlPr defaultSize="0" autoFill="0" autoLine="0" autoPict="0" macro="[0]!slicerConnector">
                <anchor moveWithCells="1">
                  <from>
                    <xdr:col>0</xdr:col>
                    <xdr:colOff>476250</xdr:colOff>
                    <xdr:row>1</xdr:row>
                    <xdr:rowOff>485775</xdr:rowOff>
                  </from>
                  <to>
                    <xdr:col>0</xdr:col>
                    <xdr:colOff>1476375</xdr:colOff>
                    <xdr:row>2</xdr:row>
                    <xdr:rowOff>19050</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or">
                <anchor moveWithCells="1">
                  <from>
                    <xdr:col>3</xdr:col>
                    <xdr:colOff>514350</xdr:colOff>
                    <xdr:row>1</xdr:row>
                    <xdr:rowOff>476250</xdr:rowOff>
                  </from>
                  <to>
                    <xdr:col>3</xdr:col>
                    <xdr:colOff>1285875</xdr:colOff>
                    <xdr:row>2</xdr:row>
                    <xdr:rowOff>9525</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or">
                <anchor moveWithCells="1">
                  <from>
                    <xdr:col>6</xdr:col>
                    <xdr:colOff>400050</xdr:colOff>
                    <xdr:row>1</xdr:row>
                    <xdr:rowOff>476250</xdr:rowOff>
                  </from>
                  <to>
                    <xdr:col>6</xdr:col>
                    <xdr:colOff>1171575</xdr:colOff>
                    <xdr:row>2</xdr:row>
                    <xdr:rowOff>9525</xdr:rowOff>
                  </to>
                </anchor>
              </controlPr>
            </control>
          </mc:Choice>
        </mc:AlternateContent>
        <mc:AlternateContent xmlns:mc="http://schemas.openxmlformats.org/markup-compatibility/2006">
          <mc:Choice Requires="x14">
            <control shapeId="2054" r:id="rId11" name="Check Box 6">
              <controlPr defaultSize="0" autoFill="0" autoLine="0" autoPict="0" macro="[0]!slicerConnector">
                <anchor moveWithCells="1">
                  <from>
                    <xdr:col>9</xdr:col>
                    <xdr:colOff>381000</xdr:colOff>
                    <xdr:row>1</xdr:row>
                    <xdr:rowOff>466725</xdr:rowOff>
                  </from>
                  <to>
                    <xdr:col>9</xdr:col>
                    <xdr:colOff>1152525</xdr:colOff>
                    <xdr:row>1</xdr:row>
                    <xdr:rowOff>676275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00"/>
  <sheetViews>
    <sheetView zoomScale="93" workbookViewId="0">
      <selection activeCell="B9" sqref="B9"/>
    </sheetView>
  </sheetViews>
  <sheetFormatPr defaultColWidth="14.5703125" defaultRowHeight="15" x14ac:dyDescent="0.25"/>
  <cols>
    <col min="1" max="1" width="22.7109375" customWidth="1"/>
    <col min="2" max="2" width="26.5703125" customWidth="1"/>
    <col min="3" max="3" width="26" customWidth="1"/>
    <col min="10" max="10" width="17.28515625" customWidth="1"/>
    <col min="11" max="11" width="24.28515625" style="9" customWidth="1"/>
    <col min="12" max="12" width="26.5703125" customWidth="1"/>
  </cols>
  <sheetData>
    <row r="1" spans="1:12" x14ac:dyDescent="0.25">
      <c r="A1" s="2" t="s">
        <v>0</v>
      </c>
      <c r="B1" s="2" t="s">
        <v>1</v>
      </c>
      <c r="C1" s="2" t="s">
        <v>2</v>
      </c>
      <c r="D1" s="2" t="s">
        <v>3</v>
      </c>
      <c r="E1" s="2" t="s">
        <v>4</v>
      </c>
      <c r="F1" s="2" t="s">
        <v>5</v>
      </c>
      <c r="G1" s="2" t="s">
        <v>6</v>
      </c>
      <c r="H1" s="2" t="s">
        <v>7</v>
      </c>
      <c r="I1" s="2" t="s">
        <v>8</v>
      </c>
      <c r="J1" s="2" t="s">
        <v>9</v>
      </c>
      <c r="K1" s="8" t="s">
        <v>10</v>
      </c>
      <c r="L1" s="2" t="s">
        <v>11</v>
      </c>
    </row>
    <row r="2" spans="1:12" x14ac:dyDescent="0.25">
      <c r="A2" s="1" t="s">
        <v>12</v>
      </c>
      <c r="B2" s="1" t="s">
        <v>111</v>
      </c>
      <c r="C2" s="1" t="s">
        <v>210</v>
      </c>
      <c r="D2" s="1">
        <v>10</v>
      </c>
      <c r="E2" s="1">
        <v>72</v>
      </c>
      <c r="F2" s="1">
        <v>44</v>
      </c>
      <c r="G2" s="1">
        <v>77</v>
      </c>
      <c r="H2" s="1">
        <v>60</v>
      </c>
      <c r="I2" s="1">
        <v>263</v>
      </c>
      <c r="J2" s="1">
        <v>500</v>
      </c>
      <c r="K2" s="7">
        <v>0.52600000000000002</v>
      </c>
      <c r="L2" s="7" t="s">
        <v>219</v>
      </c>
    </row>
    <row r="3" spans="1:12" x14ac:dyDescent="0.25">
      <c r="A3" s="1" t="s">
        <v>13</v>
      </c>
      <c r="B3" s="1" t="s">
        <v>112</v>
      </c>
      <c r="C3" s="1" t="s">
        <v>211</v>
      </c>
      <c r="D3" s="1">
        <v>29</v>
      </c>
      <c r="E3" s="1">
        <v>34</v>
      </c>
      <c r="F3" s="1">
        <v>13</v>
      </c>
      <c r="G3" s="1">
        <v>100</v>
      </c>
      <c r="H3" s="1">
        <v>45</v>
      </c>
      <c r="I3" s="1">
        <v>221</v>
      </c>
      <c r="J3" s="1">
        <v>500</v>
      </c>
      <c r="K3" s="7">
        <v>0.442</v>
      </c>
      <c r="L3" s="7">
        <v>0.55800000000000005</v>
      </c>
    </row>
    <row r="4" spans="1:12" x14ac:dyDescent="0.25">
      <c r="A4" s="1" t="s">
        <v>14</v>
      </c>
      <c r="B4" s="1" t="s">
        <v>113</v>
      </c>
      <c r="C4" s="1" t="s">
        <v>212</v>
      </c>
      <c r="D4" s="1">
        <v>79</v>
      </c>
      <c r="E4" s="1">
        <v>84</v>
      </c>
      <c r="F4" s="1">
        <v>10</v>
      </c>
      <c r="G4" s="1">
        <v>24</v>
      </c>
      <c r="H4" s="1">
        <v>73</v>
      </c>
      <c r="I4" s="1">
        <v>270</v>
      </c>
      <c r="J4" s="1">
        <v>500</v>
      </c>
      <c r="K4" s="7">
        <v>0.54</v>
      </c>
      <c r="L4" s="7">
        <v>0.46</v>
      </c>
    </row>
    <row r="5" spans="1:12" x14ac:dyDescent="0.25">
      <c r="A5" s="1" t="s">
        <v>15</v>
      </c>
      <c r="B5" s="1" t="s">
        <v>114</v>
      </c>
      <c r="C5" s="1" t="s">
        <v>213</v>
      </c>
      <c r="D5" s="1">
        <v>98</v>
      </c>
      <c r="E5" s="1">
        <v>37</v>
      </c>
      <c r="F5" s="1">
        <v>38</v>
      </c>
      <c r="G5" s="1">
        <v>69</v>
      </c>
      <c r="H5" s="1">
        <v>75</v>
      </c>
      <c r="I5" s="1">
        <v>317</v>
      </c>
      <c r="J5" s="1">
        <v>500</v>
      </c>
      <c r="K5" s="7">
        <v>0.63400000000000001</v>
      </c>
      <c r="L5" s="7">
        <v>0.36599999999999999</v>
      </c>
    </row>
    <row r="6" spans="1:12" x14ac:dyDescent="0.25">
      <c r="A6" s="1" t="s">
        <v>16</v>
      </c>
      <c r="B6" s="1" t="s">
        <v>115</v>
      </c>
      <c r="C6" s="1" t="s">
        <v>214</v>
      </c>
      <c r="D6" s="1">
        <v>41</v>
      </c>
      <c r="E6" s="1">
        <v>18</v>
      </c>
      <c r="F6" s="1">
        <v>47</v>
      </c>
      <c r="G6" s="1">
        <v>47</v>
      </c>
      <c r="H6" s="1">
        <v>36</v>
      </c>
      <c r="I6" s="1">
        <v>189</v>
      </c>
      <c r="J6" s="1">
        <v>500</v>
      </c>
      <c r="K6" s="7">
        <v>0.378</v>
      </c>
      <c r="L6" s="7">
        <v>0.622</v>
      </c>
    </row>
    <row r="7" spans="1:12" x14ac:dyDescent="0.25">
      <c r="A7" s="1" t="s">
        <v>17</v>
      </c>
      <c r="B7" s="1" t="s">
        <v>116</v>
      </c>
      <c r="C7" s="1" t="s">
        <v>215</v>
      </c>
      <c r="D7" s="1">
        <v>46</v>
      </c>
      <c r="E7" s="1">
        <v>64</v>
      </c>
      <c r="F7" s="1">
        <v>92</v>
      </c>
      <c r="G7" s="1">
        <v>76</v>
      </c>
      <c r="H7" s="1">
        <v>18</v>
      </c>
      <c r="I7" s="1">
        <v>296</v>
      </c>
      <c r="J7" s="1">
        <v>500</v>
      </c>
      <c r="K7" s="7">
        <v>0.59199999999999997</v>
      </c>
      <c r="L7" s="7">
        <v>0.40799999999999997</v>
      </c>
    </row>
    <row r="8" spans="1:12" x14ac:dyDescent="0.25">
      <c r="A8" s="1" t="s">
        <v>18</v>
      </c>
      <c r="B8" s="1" t="s">
        <v>117</v>
      </c>
      <c r="C8" s="1" t="s">
        <v>213</v>
      </c>
      <c r="D8" s="1">
        <v>54</v>
      </c>
      <c r="E8" s="1">
        <v>80</v>
      </c>
      <c r="F8" s="1">
        <v>94</v>
      </c>
      <c r="G8" s="1">
        <v>30</v>
      </c>
      <c r="H8" s="1">
        <v>98</v>
      </c>
      <c r="I8" s="1">
        <v>356</v>
      </c>
      <c r="J8" s="1">
        <v>500</v>
      </c>
      <c r="K8" s="7">
        <v>0.71199999999999997</v>
      </c>
      <c r="L8" s="7">
        <v>0.28799999999999998</v>
      </c>
    </row>
    <row r="9" spans="1:12" x14ac:dyDescent="0.25">
      <c r="A9" s="1" t="s">
        <v>19</v>
      </c>
      <c r="B9" s="1" t="s">
        <v>118</v>
      </c>
      <c r="C9" s="1" t="s">
        <v>216</v>
      </c>
      <c r="D9" s="1">
        <v>33</v>
      </c>
      <c r="E9" s="1">
        <v>75</v>
      </c>
      <c r="F9" s="1">
        <v>11</v>
      </c>
      <c r="G9" s="1">
        <v>89</v>
      </c>
      <c r="H9" s="1">
        <v>26</v>
      </c>
      <c r="I9" s="1">
        <v>234</v>
      </c>
      <c r="J9" s="1">
        <v>500</v>
      </c>
      <c r="K9" s="7">
        <v>0.46800000000000003</v>
      </c>
      <c r="L9" s="7">
        <v>0.53200000000000003</v>
      </c>
    </row>
    <row r="10" spans="1:12" x14ac:dyDescent="0.25">
      <c r="A10" s="1" t="s">
        <v>20</v>
      </c>
      <c r="B10" s="1" t="s">
        <v>119</v>
      </c>
      <c r="C10" s="1" t="s">
        <v>215</v>
      </c>
      <c r="D10" s="1">
        <v>82</v>
      </c>
      <c r="E10" s="1">
        <v>83</v>
      </c>
      <c r="F10" s="1">
        <v>13</v>
      </c>
      <c r="G10" s="1">
        <v>92</v>
      </c>
      <c r="H10" s="1">
        <v>71</v>
      </c>
      <c r="I10" s="1">
        <v>341</v>
      </c>
      <c r="J10" s="1">
        <v>500</v>
      </c>
      <c r="K10" s="7">
        <v>0.68200000000000005</v>
      </c>
      <c r="L10" s="7">
        <v>0.318</v>
      </c>
    </row>
    <row r="11" spans="1:12" x14ac:dyDescent="0.25">
      <c r="A11" s="1" t="s">
        <v>21</v>
      </c>
      <c r="B11" s="1" t="s">
        <v>120</v>
      </c>
      <c r="C11" s="1" t="s">
        <v>216</v>
      </c>
      <c r="D11" s="1">
        <v>82</v>
      </c>
      <c r="E11" s="1">
        <v>59</v>
      </c>
      <c r="F11" s="1">
        <v>18</v>
      </c>
      <c r="G11" s="1">
        <v>69</v>
      </c>
      <c r="H11" s="1">
        <v>19</v>
      </c>
      <c r="I11" s="1">
        <v>247</v>
      </c>
      <c r="J11" s="1">
        <v>500</v>
      </c>
      <c r="K11" s="7">
        <v>0.49399999999999999</v>
      </c>
      <c r="L11" s="7">
        <v>0.50600000000000001</v>
      </c>
    </row>
    <row r="12" spans="1:12" x14ac:dyDescent="0.25">
      <c r="A12" s="1" t="s">
        <v>22</v>
      </c>
      <c r="B12" s="1" t="s">
        <v>121</v>
      </c>
      <c r="C12" s="1" t="s">
        <v>216</v>
      </c>
      <c r="D12" s="1">
        <v>100</v>
      </c>
      <c r="E12" s="1">
        <v>73</v>
      </c>
      <c r="F12" s="1">
        <v>94</v>
      </c>
      <c r="G12" s="1">
        <v>17</v>
      </c>
      <c r="H12" s="1">
        <v>35</v>
      </c>
      <c r="I12" s="1">
        <v>319</v>
      </c>
      <c r="J12" s="1">
        <v>500</v>
      </c>
      <c r="K12" s="7">
        <v>0.63800000000000001</v>
      </c>
      <c r="L12" s="7">
        <v>0.36199999999999999</v>
      </c>
    </row>
    <row r="13" spans="1:12" x14ac:dyDescent="0.25">
      <c r="A13" s="1" t="s">
        <v>23</v>
      </c>
      <c r="B13" s="1" t="s">
        <v>122</v>
      </c>
      <c r="C13" s="1" t="s">
        <v>216</v>
      </c>
      <c r="D13" s="1">
        <v>89</v>
      </c>
      <c r="E13" s="1">
        <v>24</v>
      </c>
      <c r="F13" s="1">
        <v>89</v>
      </c>
      <c r="G13" s="1">
        <v>97</v>
      </c>
      <c r="H13" s="1">
        <v>55</v>
      </c>
      <c r="I13" s="1">
        <v>354</v>
      </c>
      <c r="J13" s="1">
        <v>500</v>
      </c>
      <c r="K13" s="7">
        <v>0.70799999999999996</v>
      </c>
      <c r="L13" s="7">
        <v>0.29199999999999998</v>
      </c>
    </row>
    <row r="14" spans="1:12" x14ac:dyDescent="0.25">
      <c r="A14" s="1" t="s">
        <v>24</v>
      </c>
      <c r="B14" s="1" t="s">
        <v>123</v>
      </c>
      <c r="C14" s="1" t="s">
        <v>216</v>
      </c>
      <c r="D14" s="1">
        <v>83</v>
      </c>
      <c r="E14" s="1">
        <v>87</v>
      </c>
      <c r="F14" s="1">
        <v>95</v>
      </c>
      <c r="G14" s="1">
        <v>59</v>
      </c>
      <c r="H14" s="1">
        <v>28</v>
      </c>
      <c r="I14" s="1">
        <v>352</v>
      </c>
      <c r="J14" s="1">
        <v>500</v>
      </c>
      <c r="K14" s="7">
        <v>0.70399999999999996</v>
      </c>
      <c r="L14" s="7">
        <v>0.29599999999999999</v>
      </c>
    </row>
    <row r="15" spans="1:12" x14ac:dyDescent="0.25">
      <c r="A15" s="1" t="s">
        <v>25</v>
      </c>
      <c r="B15" s="1" t="s">
        <v>124</v>
      </c>
      <c r="C15" s="1" t="s">
        <v>211</v>
      </c>
      <c r="D15" s="1">
        <v>99</v>
      </c>
      <c r="E15" s="1">
        <v>19</v>
      </c>
      <c r="F15" s="1">
        <v>67</v>
      </c>
      <c r="G15" s="1">
        <v>14</v>
      </c>
      <c r="H15" s="1">
        <v>45</v>
      </c>
      <c r="I15" s="1">
        <v>244</v>
      </c>
      <c r="J15" s="1">
        <v>500</v>
      </c>
      <c r="K15" s="7">
        <v>0.48799999999999999</v>
      </c>
      <c r="L15" s="7">
        <v>0.51200000000000001</v>
      </c>
    </row>
    <row r="16" spans="1:12" x14ac:dyDescent="0.25">
      <c r="A16" s="1" t="s">
        <v>26</v>
      </c>
      <c r="B16" s="1" t="s">
        <v>125</v>
      </c>
      <c r="C16" s="1" t="s">
        <v>217</v>
      </c>
      <c r="D16" s="1">
        <v>24</v>
      </c>
      <c r="E16" s="1">
        <v>92</v>
      </c>
      <c r="F16" s="1">
        <v>28</v>
      </c>
      <c r="G16" s="1">
        <v>32</v>
      </c>
      <c r="H16" s="1">
        <v>47</v>
      </c>
      <c r="I16" s="1">
        <v>223</v>
      </c>
      <c r="J16" s="1">
        <v>500</v>
      </c>
      <c r="K16" s="7">
        <v>0.44600000000000001</v>
      </c>
      <c r="L16" s="7">
        <v>0.55400000000000005</v>
      </c>
    </row>
    <row r="17" spans="1:12" x14ac:dyDescent="0.25">
      <c r="A17" s="1" t="s">
        <v>27</v>
      </c>
      <c r="B17" s="1" t="s">
        <v>126</v>
      </c>
      <c r="C17" s="1" t="s">
        <v>215</v>
      </c>
      <c r="D17" s="1">
        <v>76</v>
      </c>
      <c r="E17" s="1">
        <v>41</v>
      </c>
      <c r="F17" s="1">
        <v>95</v>
      </c>
      <c r="G17" s="1">
        <v>53</v>
      </c>
      <c r="H17" s="1">
        <v>22</v>
      </c>
      <c r="I17" s="1">
        <v>287</v>
      </c>
      <c r="J17" s="1">
        <v>500</v>
      </c>
      <c r="K17" s="7">
        <v>0.57399999999999995</v>
      </c>
      <c r="L17" s="7">
        <v>0.42599999999999999</v>
      </c>
    </row>
    <row r="18" spans="1:12" x14ac:dyDescent="0.25">
      <c r="A18" s="1" t="s">
        <v>28</v>
      </c>
      <c r="B18" s="1" t="s">
        <v>127</v>
      </c>
      <c r="C18" s="1" t="s">
        <v>217</v>
      </c>
      <c r="D18" s="1">
        <v>49</v>
      </c>
      <c r="E18" s="1">
        <v>70</v>
      </c>
      <c r="F18" s="1">
        <v>48</v>
      </c>
      <c r="G18" s="1">
        <v>41</v>
      </c>
      <c r="H18" s="1">
        <v>75</v>
      </c>
      <c r="I18" s="1">
        <v>283</v>
      </c>
      <c r="J18" s="1">
        <v>500</v>
      </c>
      <c r="K18" s="7">
        <v>0.56599999999999995</v>
      </c>
      <c r="L18" s="7">
        <v>0.434</v>
      </c>
    </row>
    <row r="19" spans="1:12" x14ac:dyDescent="0.25">
      <c r="A19" s="1" t="s">
        <v>29</v>
      </c>
      <c r="B19" s="1" t="s">
        <v>128</v>
      </c>
      <c r="C19" s="1" t="s">
        <v>210</v>
      </c>
      <c r="D19" s="1">
        <v>66</v>
      </c>
      <c r="E19" s="1">
        <v>21</v>
      </c>
      <c r="F19" s="1">
        <v>93</v>
      </c>
      <c r="G19" s="1">
        <v>68</v>
      </c>
      <c r="H19" s="1">
        <v>31</v>
      </c>
      <c r="I19" s="1">
        <v>279</v>
      </c>
      <c r="J19" s="1">
        <v>500</v>
      </c>
      <c r="K19" s="7">
        <v>0.55800000000000005</v>
      </c>
      <c r="L19" s="7">
        <v>0.442</v>
      </c>
    </row>
    <row r="20" spans="1:12" x14ac:dyDescent="0.25">
      <c r="A20" s="1" t="s">
        <v>30</v>
      </c>
      <c r="B20" s="1" t="s">
        <v>129</v>
      </c>
      <c r="C20" s="1" t="s">
        <v>212</v>
      </c>
      <c r="D20" s="1">
        <v>24</v>
      </c>
      <c r="E20" s="1">
        <v>73</v>
      </c>
      <c r="F20" s="1">
        <v>31</v>
      </c>
      <c r="G20" s="1">
        <v>84</v>
      </c>
      <c r="H20" s="1">
        <v>51</v>
      </c>
      <c r="I20" s="1">
        <v>263</v>
      </c>
      <c r="J20" s="1">
        <v>500</v>
      </c>
      <c r="K20" s="7">
        <v>0.52600000000000002</v>
      </c>
      <c r="L20" s="7">
        <v>0.47399999999999998</v>
      </c>
    </row>
    <row r="21" spans="1:12" x14ac:dyDescent="0.25">
      <c r="A21" s="1" t="s">
        <v>31</v>
      </c>
      <c r="B21" s="1" t="s">
        <v>130</v>
      </c>
      <c r="C21" s="1" t="s">
        <v>213</v>
      </c>
      <c r="D21" s="1">
        <v>31</v>
      </c>
      <c r="E21" s="1">
        <v>69</v>
      </c>
      <c r="F21" s="1">
        <v>22</v>
      </c>
      <c r="G21" s="1">
        <v>29</v>
      </c>
      <c r="H21" s="1">
        <v>62</v>
      </c>
      <c r="I21" s="1">
        <v>213</v>
      </c>
      <c r="J21" s="1">
        <v>500</v>
      </c>
      <c r="K21" s="7">
        <v>0.42599999999999999</v>
      </c>
      <c r="L21" s="7">
        <v>0.57399999999999995</v>
      </c>
    </row>
    <row r="22" spans="1:12" x14ac:dyDescent="0.25">
      <c r="A22" s="1" t="s">
        <v>32</v>
      </c>
      <c r="B22" s="1" t="s">
        <v>131</v>
      </c>
      <c r="C22" s="1" t="s">
        <v>210</v>
      </c>
      <c r="D22" s="1">
        <v>63</v>
      </c>
      <c r="E22" s="1">
        <v>31</v>
      </c>
      <c r="F22" s="1">
        <v>46</v>
      </c>
      <c r="G22" s="1">
        <v>59</v>
      </c>
      <c r="H22" s="1">
        <v>15</v>
      </c>
      <c r="I22" s="1">
        <v>214</v>
      </c>
      <c r="J22" s="1">
        <v>500</v>
      </c>
      <c r="K22" s="7">
        <v>0.42799999999999999</v>
      </c>
      <c r="L22" s="7">
        <v>0.57199999999999995</v>
      </c>
    </row>
    <row r="23" spans="1:12" x14ac:dyDescent="0.25">
      <c r="A23" s="1" t="s">
        <v>33</v>
      </c>
      <c r="B23" s="1" t="s">
        <v>132</v>
      </c>
      <c r="C23" s="1" t="s">
        <v>214</v>
      </c>
      <c r="D23" s="1">
        <v>98</v>
      </c>
      <c r="E23" s="1">
        <v>43</v>
      </c>
      <c r="F23" s="1">
        <v>88</v>
      </c>
      <c r="G23" s="1">
        <v>99</v>
      </c>
      <c r="H23" s="1">
        <v>56</v>
      </c>
      <c r="I23" s="1">
        <v>384</v>
      </c>
      <c r="J23" s="1">
        <v>500</v>
      </c>
      <c r="K23" s="7">
        <v>0.76800000000000002</v>
      </c>
      <c r="L23" s="7">
        <v>0.23200000000000001</v>
      </c>
    </row>
    <row r="24" spans="1:12" x14ac:dyDescent="0.25">
      <c r="A24" s="1" t="s">
        <v>34</v>
      </c>
      <c r="B24" s="1" t="s">
        <v>133</v>
      </c>
      <c r="C24" s="1" t="s">
        <v>214</v>
      </c>
      <c r="D24" s="1">
        <v>55</v>
      </c>
      <c r="E24" s="1">
        <v>74</v>
      </c>
      <c r="F24" s="1">
        <v>16</v>
      </c>
      <c r="G24" s="1">
        <v>20</v>
      </c>
      <c r="H24" s="1">
        <v>52</v>
      </c>
      <c r="I24" s="1">
        <v>217</v>
      </c>
      <c r="J24" s="1">
        <v>500</v>
      </c>
      <c r="K24" s="7">
        <v>0.434</v>
      </c>
      <c r="L24" s="7">
        <v>0.56599999999999995</v>
      </c>
    </row>
    <row r="25" spans="1:12" x14ac:dyDescent="0.25">
      <c r="A25" s="1" t="s">
        <v>35</v>
      </c>
      <c r="B25" s="1" t="s">
        <v>134</v>
      </c>
      <c r="C25" s="1" t="s">
        <v>215</v>
      </c>
      <c r="D25" s="1">
        <v>20</v>
      </c>
      <c r="E25" s="1">
        <v>78</v>
      </c>
      <c r="F25" s="1">
        <v>98</v>
      </c>
      <c r="G25" s="1">
        <v>28</v>
      </c>
      <c r="H25" s="1">
        <v>36</v>
      </c>
      <c r="I25" s="1">
        <v>260</v>
      </c>
      <c r="J25" s="1">
        <v>500</v>
      </c>
      <c r="K25" s="7">
        <v>0.52</v>
      </c>
      <c r="L25" s="7">
        <v>0.48</v>
      </c>
    </row>
    <row r="26" spans="1:12" x14ac:dyDescent="0.25">
      <c r="A26" s="1" t="s">
        <v>36</v>
      </c>
      <c r="B26" s="1" t="s">
        <v>135</v>
      </c>
      <c r="C26" s="1" t="s">
        <v>216</v>
      </c>
      <c r="D26" s="1">
        <v>80</v>
      </c>
      <c r="E26" s="1">
        <v>15</v>
      </c>
      <c r="F26" s="1">
        <v>95</v>
      </c>
      <c r="G26" s="1">
        <v>50</v>
      </c>
      <c r="H26" s="1">
        <v>63</v>
      </c>
      <c r="I26" s="1">
        <v>303</v>
      </c>
      <c r="J26" s="1">
        <v>500</v>
      </c>
      <c r="K26" s="7">
        <v>0.60599999999999998</v>
      </c>
      <c r="L26" s="7">
        <v>0.39400000000000002</v>
      </c>
    </row>
    <row r="27" spans="1:12" x14ac:dyDescent="0.25">
      <c r="A27" s="1" t="s">
        <v>37</v>
      </c>
      <c r="B27" s="1" t="s">
        <v>136</v>
      </c>
      <c r="C27" s="1" t="s">
        <v>215</v>
      </c>
      <c r="D27" s="1">
        <v>59</v>
      </c>
      <c r="E27" s="1">
        <v>26</v>
      </c>
      <c r="F27" s="1">
        <v>57</v>
      </c>
      <c r="G27" s="1">
        <v>58</v>
      </c>
      <c r="H27" s="1">
        <v>78</v>
      </c>
      <c r="I27" s="1">
        <v>278</v>
      </c>
      <c r="J27" s="1">
        <v>500</v>
      </c>
      <c r="K27" s="7">
        <v>0.55600000000000005</v>
      </c>
      <c r="L27" s="7">
        <v>0.44400000000000001</v>
      </c>
    </row>
    <row r="28" spans="1:12" x14ac:dyDescent="0.25">
      <c r="A28" s="1" t="s">
        <v>38</v>
      </c>
      <c r="B28" s="1" t="s">
        <v>137</v>
      </c>
      <c r="C28" s="1" t="s">
        <v>213</v>
      </c>
      <c r="D28" s="1">
        <v>24</v>
      </c>
      <c r="E28" s="1">
        <v>56</v>
      </c>
      <c r="F28" s="1">
        <v>85</v>
      </c>
      <c r="G28" s="1">
        <v>92</v>
      </c>
      <c r="H28" s="1">
        <v>55</v>
      </c>
      <c r="I28" s="1">
        <v>312</v>
      </c>
      <c r="J28" s="1">
        <v>500</v>
      </c>
      <c r="K28" s="7">
        <v>0.624</v>
      </c>
      <c r="L28" s="7">
        <v>0.376</v>
      </c>
    </row>
    <row r="29" spans="1:12" x14ac:dyDescent="0.25">
      <c r="A29" s="1" t="s">
        <v>39</v>
      </c>
      <c r="B29" s="1" t="s">
        <v>138</v>
      </c>
      <c r="C29" s="1" t="s">
        <v>211</v>
      </c>
      <c r="D29" s="1">
        <v>64</v>
      </c>
      <c r="E29" s="1">
        <v>48</v>
      </c>
      <c r="F29" s="1">
        <v>66</v>
      </c>
      <c r="G29" s="1">
        <v>38</v>
      </c>
      <c r="H29" s="1">
        <v>83</v>
      </c>
      <c r="I29" s="1">
        <v>299</v>
      </c>
      <c r="J29" s="1">
        <v>500</v>
      </c>
      <c r="K29" s="7">
        <v>0.59799999999999998</v>
      </c>
      <c r="L29" s="7">
        <v>0.40200000000000002</v>
      </c>
    </row>
    <row r="30" spans="1:12" x14ac:dyDescent="0.25">
      <c r="A30" s="1" t="s">
        <v>40</v>
      </c>
      <c r="B30" s="1" t="s">
        <v>139</v>
      </c>
      <c r="C30" s="1" t="s">
        <v>216</v>
      </c>
      <c r="D30" s="1">
        <v>66</v>
      </c>
      <c r="E30" s="1">
        <v>16</v>
      </c>
      <c r="F30" s="1">
        <v>55</v>
      </c>
      <c r="G30" s="1">
        <v>87</v>
      </c>
      <c r="H30" s="1">
        <v>37</v>
      </c>
      <c r="I30" s="1">
        <v>261</v>
      </c>
      <c r="J30" s="1">
        <v>500</v>
      </c>
      <c r="K30" s="7">
        <v>0.52200000000000002</v>
      </c>
      <c r="L30" s="7">
        <v>0.47799999999999998</v>
      </c>
    </row>
    <row r="31" spans="1:12" x14ac:dyDescent="0.25">
      <c r="A31" s="1" t="s">
        <v>41</v>
      </c>
      <c r="B31" s="1" t="s">
        <v>140</v>
      </c>
      <c r="C31" s="1" t="s">
        <v>212</v>
      </c>
      <c r="D31" s="1">
        <v>88</v>
      </c>
      <c r="E31" s="1">
        <v>49</v>
      </c>
      <c r="F31" s="1">
        <v>32</v>
      </c>
      <c r="G31" s="1">
        <v>76</v>
      </c>
      <c r="H31" s="1">
        <v>24</v>
      </c>
      <c r="I31" s="1">
        <v>269</v>
      </c>
      <c r="J31" s="1">
        <v>500</v>
      </c>
      <c r="K31" s="7">
        <v>0.53800000000000003</v>
      </c>
      <c r="L31" s="7">
        <v>0.46200000000000002</v>
      </c>
    </row>
    <row r="32" spans="1:12" x14ac:dyDescent="0.25">
      <c r="A32" s="1" t="s">
        <v>42</v>
      </c>
      <c r="B32" s="1" t="s">
        <v>141</v>
      </c>
      <c r="C32" s="1" t="s">
        <v>213</v>
      </c>
      <c r="D32" s="1">
        <v>91</v>
      </c>
      <c r="E32" s="1">
        <v>39</v>
      </c>
      <c r="F32" s="1">
        <v>19</v>
      </c>
      <c r="G32" s="1">
        <v>37</v>
      </c>
      <c r="H32" s="1">
        <v>40</v>
      </c>
      <c r="I32" s="1">
        <v>226</v>
      </c>
      <c r="J32" s="1">
        <v>500</v>
      </c>
      <c r="K32" s="7">
        <v>0.45200000000000001</v>
      </c>
      <c r="L32" s="7">
        <v>0.54800000000000004</v>
      </c>
    </row>
    <row r="33" spans="1:12" x14ac:dyDescent="0.25">
      <c r="A33" s="1" t="s">
        <v>43</v>
      </c>
      <c r="B33" s="1" t="s">
        <v>142</v>
      </c>
      <c r="C33" s="1" t="s">
        <v>211</v>
      </c>
      <c r="D33" s="1">
        <v>67</v>
      </c>
      <c r="E33" s="1">
        <v>60</v>
      </c>
      <c r="F33" s="1">
        <v>28</v>
      </c>
      <c r="G33" s="1">
        <v>83</v>
      </c>
      <c r="H33" s="1">
        <v>90</v>
      </c>
      <c r="I33" s="1">
        <v>328</v>
      </c>
      <c r="J33" s="1">
        <v>500</v>
      </c>
      <c r="K33" s="7">
        <v>0.65600000000000003</v>
      </c>
      <c r="L33" s="7">
        <v>0.34399999999999997</v>
      </c>
    </row>
    <row r="34" spans="1:12" x14ac:dyDescent="0.25">
      <c r="A34" s="1" t="s">
        <v>44</v>
      </c>
      <c r="B34" s="1" t="s">
        <v>143</v>
      </c>
      <c r="C34" s="1" t="s">
        <v>212</v>
      </c>
      <c r="D34" s="1">
        <v>91</v>
      </c>
      <c r="E34" s="1">
        <v>72</v>
      </c>
      <c r="F34" s="1">
        <v>98</v>
      </c>
      <c r="G34" s="1">
        <v>18</v>
      </c>
      <c r="H34" s="1">
        <v>14</v>
      </c>
      <c r="I34" s="1">
        <v>293</v>
      </c>
      <c r="J34" s="1">
        <v>500</v>
      </c>
      <c r="K34" s="7">
        <v>0.58599999999999997</v>
      </c>
      <c r="L34" s="7">
        <v>0.41399999999999998</v>
      </c>
    </row>
    <row r="35" spans="1:12" x14ac:dyDescent="0.25">
      <c r="A35" s="1" t="s">
        <v>45</v>
      </c>
      <c r="B35" s="1" t="s">
        <v>144</v>
      </c>
      <c r="C35" s="1" t="s">
        <v>214</v>
      </c>
      <c r="D35" s="1">
        <v>61</v>
      </c>
      <c r="E35" s="1">
        <v>97</v>
      </c>
      <c r="F35" s="1">
        <v>41</v>
      </c>
      <c r="G35" s="1">
        <v>21</v>
      </c>
      <c r="H35" s="1">
        <v>10</v>
      </c>
      <c r="I35" s="1">
        <v>230</v>
      </c>
      <c r="J35" s="1">
        <v>500</v>
      </c>
      <c r="K35" s="7">
        <v>0.46</v>
      </c>
      <c r="L35" s="7">
        <v>0.54</v>
      </c>
    </row>
    <row r="36" spans="1:12" x14ac:dyDescent="0.25">
      <c r="A36" s="1" t="s">
        <v>46</v>
      </c>
      <c r="B36" s="1" t="s">
        <v>145</v>
      </c>
      <c r="C36" s="1" t="s">
        <v>210</v>
      </c>
      <c r="D36" s="1">
        <v>82</v>
      </c>
      <c r="E36" s="1">
        <v>59</v>
      </c>
      <c r="F36" s="1">
        <v>98</v>
      </c>
      <c r="G36" s="1">
        <v>38</v>
      </c>
      <c r="H36" s="1">
        <v>18</v>
      </c>
      <c r="I36" s="1">
        <v>295</v>
      </c>
      <c r="J36" s="1">
        <v>500</v>
      </c>
      <c r="K36" s="7">
        <v>0.59</v>
      </c>
      <c r="L36" s="7">
        <v>0.41</v>
      </c>
    </row>
    <row r="37" spans="1:12" x14ac:dyDescent="0.25">
      <c r="A37" s="1" t="s">
        <v>47</v>
      </c>
      <c r="B37" s="1" t="s">
        <v>146</v>
      </c>
      <c r="C37" s="1" t="s">
        <v>212</v>
      </c>
      <c r="D37" s="1">
        <v>87</v>
      </c>
      <c r="E37" s="1">
        <v>63</v>
      </c>
      <c r="F37" s="1">
        <v>90</v>
      </c>
      <c r="G37" s="1">
        <v>12</v>
      </c>
      <c r="H37" s="1">
        <v>10</v>
      </c>
      <c r="I37" s="1">
        <v>262</v>
      </c>
      <c r="J37" s="1">
        <v>500</v>
      </c>
      <c r="K37" s="7">
        <v>0.52400000000000002</v>
      </c>
      <c r="L37" s="7">
        <v>0.47599999999999998</v>
      </c>
    </row>
    <row r="38" spans="1:12" x14ac:dyDescent="0.25">
      <c r="A38" s="1" t="s">
        <v>48</v>
      </c>
      <c r="B38" s="1" t="s">
        <v>147</v>
      </c>
      <c r="C38" s="1" t="s">
        <v>214</v>
      </c>
      <c r="D38" s="1">
        <v>69</v>
      </c>
      <c r="E38" s="1">
        <v>48</v>
      </c>
      <c r="F38" s="1">
        <v>61</v>
      </c>
      <c r="G38" s="1">
        <v>49</v>
      </c>
      <c r="H38" s="1">
        <v>81</v>
      </c>
      <c r="I38" s="1">
        <v>308</v>
      </c>
      <c r="J38" s="1">
        <v>500</v>
      </c>
      <c r="K38" s="7">
        <v>0.61599999999999999</v>
      </c>
      <c r="L38" s="7">
        <v>0.38400000000000001</v>
      </c>
    </row>
    <row r="39" spans="1:12" x14ac:dyDescent="0.25">
      <c r="A39" s="1" t="s">
        <v>49</v>
      </c>
      <c r="B39" s="1" t="s">
        <v>148</v>
      </c>
      <c r="C39" s="1" t="s">
        <v>213</v>
      </c>
      <c r="D39" s="1">
        <v>20</v>
      </c>
      <c r="E39" s="1">
        <v>32</v>
      </c>
      <c r="F39" s="1">
        <v>56</v>
      </c>
      <c r="G39" s="1">
        <v>39</v>
      </c>
      <c r="H39" s="1">
        <v>67</v>
      </c>
      <c r="I39" s="1">
        <v>214</v>
      </c>
      <c r="J39" s="1">
        <v>500</v>
      </c>
      <c r="K39" s="7">
        <v>0.42799999999999999</v>
      </c>
      <c r="L39" s="7">
        <v>0.57199999999999995</v>
      </c>
    </row>
    <row r="40" spans="1:12" x14ac:dyDescent="0.25">
      <c r="A40" s="1" t="s">
        <v>50</v>
      </c>
      <c r="B40" s="1" t="s">
        <v>149</v>
      </c>
      <c r="C40" s="1" t="s">
        <v>213</v>
      </c>
      <c r="D40" s="1">
        <v>98</v>
      </c>
      <c r="E40" s="1">
        <v>67</v>
      </c>
      <c r="F40" s="1">
        <v>35</v>
      </c>
      <c r="G40" s="1">
        <v>77</v>
      </c>
      <c r="H40" s="1">
        <v>78</v>
      </c>
      <c r="I40" s="1">
        <v>355</v>
      </c>
      <c r="J40" s="1">
        <v>500</v>
      </c>
      <c r="K40" s="7">
        <v>0.71</v>
      </c>
      <c r="L40" s="7">
        <v>0.28999999999999998</v>
      </c>
    </row>
    <row r="41" spans="1:12" x14ac:dyDescent="0.25">
      <c r="A41" s="1" t="s">
        <v>51</v>
      </c>
      <c r="B41" s="1" t="s">
        <v>150</v>
      </c>
      <c r="C41" s="1" t="s">
        <v>212</v>
      </c>
      <c r="D41" s="1">
        <v>43</v>
      </c>
      <c r="E41" s="1">
        <v>94</v>
      </c>
      <c r="F41" s="1">
        <v>39</v>
      </c>
      <c r="G41" s="1">
        <v>50</v>
      </c>
      <c r="H41" s="1">
        <v>81</v>
      </c>
      <c r="I41" s="1">
        <v>307</v>
      </c>
      <c r="J41" s="1">
        <v>500</v>
      </c>
      <c r="K41" s="7">
        <v>0.61399999999999999</v>
      </c>
      <c r="L41" s="7">
        <v>0.38600000000000001</v>
      </c>
    </row>
    <row r="42" spans="1:12" x14ac:dyDescent="0.25">
      <c r="A42" s="1" t="s">
        <v>52</v>
      </c>
      <c r="B42" s="1" t="s">
        <v>151</v>
      </c>
      <c r="C42" s="1" t="s">
        <v>216</v>
      </c>
      <c r="D42" s="1">
        <v>42</v>
      </c>
      <c r="E42" s="1">
        <v>95</v>
      </c>
      <c r="F42" s="1">
        <v>41</v>
      </c>
      <c r="G42" s="1">
        <v>67</v>
      </c>
      <c r="H42" s="1">
        <v>100</v>
      </c>
      <c r="I42" s="1">
        <v>345</v>
      </c>
      <c r="J42" s="1">
        <v>500</v>
      </c>
      <c r="K42" s="7">
        <v>0.69</v>
      </c>
      <c r="L42" s="7">
        <v>0.31</v>
      </c>
    </row>
    <row r="43" spans="1:12" x14ac:dyDescent="0.25">
      <c r="A43" s="1" t="s">
        <v>53</v>
      </c>
      <c r="B43" s="1" t="s">
        <v>152</v>
      </c>
      <c r="C43" s="1" t="s">
        <v>216</v>
      </c>
      <c r="D43" s="1">
        <v>67</v>
      </c>
      <c r="E43" s="1">
        <v>22</v>
      </c>
      <c r="F43" s="1">
        <v>32</v>
      </c>
      <c r="G43" s="1">
        <v>73</v>
      </c>
      <c r="H43" s="1">
        <v>55</v>
      </c>
      <c r="I43" s="1">
        <v>249</v>
      </c>
      <c r="J43" s="1">
        <v>500</v>
      </c>
      <c r="K43" s="7">
        <v>0.498</v>
      </c>
      <c r="L43" s="7">
        <v>0.502</v>
      </c>
    </row>
    <row r="44" spans="1:12" x14ac:dyDescent="0.25">
      <c r="A44" s="1" t="s">
        <v>54</v>
      </c>
      <c r="B44" s="1" t="s">
        <v>153</v>
      </c>
      <c r="C44" s="1" t="s">
        <v>211</v>
      </c>
      <c r="D44" s="1">
        <v>22</v>
      </c>
      <c r="E44" s="1">
        <v>20</v>
      </c>
      <c r="F44" s="1">
        <v>67</v>
      </c>
      <c r="G44" s="1">
        <v>29</v>
      </c>
      <c r="H44" s="1">
        <v>13</v>
      </c>
      <c r="I44" s="1">
        <v>151</v>
      </c>
      <c r="J44" s="1">
        <v>500</v>
      </c>
      <c r="K44" s="7">
        <v>0.30199999999999999</v>
      </c>
      <c r="L44" s="7">
        <v>0.69799999999999995</v>
      </c>
    </row>
    <row r="45" spans="1:12" x14ac:dyDescent="0.25">
      <c r="A45" s="1" t="s">
        <v>55</v>
      </c>
      <c r="B45" s="1" t="s">
        <v>154</v>
      </c>
      <c r="C45" s="1" t="s">
        <v>212</v>
      </c>
      <c r="D45" s="1">
        <v>29</v>
      </c>
      <c r="E45" s="1">
        <v>60</v>
      </c>
      <c r="F45" s="1">
        <v>44</v>
      </c>
      <c r="G45" s="1">
        <v>57</v>
      </c>
      <c r="H45" s="1">
        <v>68</v>
      </c>
      <c r="I45" s="1">
        <v>258</v>
      </c>
      <c r="J45" s="1">
        <v>500</v>
      </c>
      <c r="K45" s="7">
        <v>0.51600000000000001</v>
      </c>
      <c r="L45" s="7">
        <v>0.48399999999999999</v>
      </c>
    </row>
    <row r="46" spans="1:12" x14ac:dyDescent="0.25">
      <c r="A46" s="1" t="s">
        <v>56</v>
      </c>
      <c r="B46" s="1" t="s">
        <v>155</v>
      </c>
      <c r="C46" s="1" t="s">
        <v>210</v>
      </c>
      <c r="D46" s="1">
        <v>28</v>
      </c>
      <c r="E46" s="1">
        <v>53</v>
      </c>
      <c r="F46" s="1">
        <v>29</v>
      </c>
      <c r="G46" s="1">
        <v>24</v>
      </c>
      <c r="H46" s="1">
        <v>28</v>
      </c>
      <c r="I46" s="1">
        <v>162</v>
      </c>
      <c r="J46" s="1">
        <v>500</v>
      </c>
      <c r="K46" s="7">
        <v>0.32400000000000001</v>
      </c>
      <c r="L46" s="7">
        <v>0.67600000000000005</v>
      </c>
    </row>
    <row r="47" spans="1:12" x14ac:dyDescent="0.25">
      <c r="A47" s="1" t="s">
        <v>57</v>
      </c>
      <c r="B47" s="1" t="s">
        <v>156</v>
      </c>
      <c r="C47" s="1" t="s">
        <v>213</v>
      </c>
      <c r="D47" s="1">
        <v>84</v>
      </c>
      <c r="E47" s="1">
        <v>25</v>
      </c>
      <c r="F47" s="1">
        <v>86</v>
      </c>
      <c r="G47" s="1">
        <v>64</v>
      </c>
      <c r="H47" s="1">
        <v>15</v>
      </c>
      <c r="I47" s="1">
        <v>274</v>
      </c>
      <c r="J47" s="1">
        <v>500</v>
      </c>
      <c r="K47" s="7">
        <v>0.54800000000000004</v>
      </c>
      <c r="L47" s="7">
        <v>0.45200000000000001</v>
      </c>
    </row>
    <row r="48" spans="1:12" x14ac:dyDescent="0.25">
      <c r="A48" s="1" t="s">
        <v>58</v>
      </c>
      <c r="B48" s="1" t="s">
        <v>157</v>
      </c>
      <c r="C48" s="1" t="s">
        <v>216</v>
      </c>
      <c r="D48" s="1">
        <v>67</v>
      </c>
      <c r="E48" s="1">
        <v>61</v>
      </c>
      <c r="F48" s="1">
        <v>40</v>
      </c>
      <c r="G48" s="1">
        <v>76</v>
      </c>
      <c r="H48" s="1">
        <v>73</v>
      </c>
      <c r="I48" s="1">
        <v>317</v>
      </c>
      <c r="J48" s="1">
        <v>500</v>
      </c>
      <c r="K48" s="7">
        <v>0.63400000000000001</v>
      </c>
      <c r="L48" s="7">
        <v>0.36599999999999999</v>
      </c>
    </row>
    <row r="49" spans="1:12" x14ac:dyDescent="0.25">
      <c r="A49" s="1" t="s">
        <v>59</v>
      </c>
      <c r="B49" s="1" t="s">
        <v>158</v>
      </c>
      <c r="C49" s="1" t="s">
        <v>210</v>
      </c>
      <c r="D49" s="1">
        <v>20</v>
      </c>
      <c r="E49" s="1">
        <v>100</v>
      </c>
      <c r="F49" s="1">
        <v>16</v>
      </c>
      <c r="G49" s="1">
        <v>77</v>
      </c>
      <c r="H49" s="1">
        <v>99</v>
      </c>
      <c r="I49" s="1">
        <v>312</v>
      </c>
      <c r="J49" s="1">
        <v>500</v>
      </c>
      <c r="K49" s="7">
        <v>0.624</v>
      </c>
      <c r="L49" s="7">
        <v>0.376</v>
      </c>
    </row>
    <row r="50" spans="1:12" x14ac:dyDescent="0.25">
      <c r="A50" s="1" t="s">
        <v>60</v>
      </c>
      <c r="B50" s="1" t="s">
        <v>159</v>
      </c>
      <c r="C50" s="1" t="s">
        <v>217</v>
      </c>
      <c r="D50" s="1">
        <v>74</v>
      </c>
      <c r="E50" s="1">
        <v>84</v>
      </c>
      <c r="F50" s="1">
        <v>30</v>
      </c>
      <c r="G50" s="1">
        <v>63</v>
      </c>
      <c r="H50" s="1">
        <v>23</v>
      </c>
      <c r="I50" s="1">
        <v>274</v>
      </c>
      <c r="J50" s="1">
        <v>500</v>
      </c>
      <c r="K50" s="7">
        <v>0.54800000000000004</v>
      </c>
      <c r="L50" s="7">
        <v>0.45200000000000001</v>
      </c>
    </row>
    <row r="51" spans="1:12" x14ac:dyDescent="0.25">
      <c r="A51" s="1" t="s">
        <v>61</v>
      </c>
      <c r="B51" s="1" t="s">
        <v>160</v>
      </c>
      <c r="C51" s="1" t="s">
        <v>216</v>
      </c>
      <c r="D51" s="1">
        <v>58</v>
      </c>
      <c r="E51" s="1">
        <v>24</v>
      </c>
      <c r="F51" s="1">
        <v>16</v>
      </c>
      <c r="G51" s="1">
        <v>66</v>
      </c>
      <c r="H51" s="1">
        <v>81</v>
      </c>
      <c r="I51" s="1">
        <v>245</v>
      </c>
      <c r="J51" s="1">
        <v>500</v>
      </c>
      <c r="K51" s="7">
        <v>0.49</v>
      </c>
      <c r="L51" s="7">
        <v>0.51</v>
      </c>
    </row>
    <row r="52" spans="1:12" x14ac:dyDescent="0.25">
      <c r="A52" s="1" t="s">
        <v>62</v>
      </c>
      <c r="B52" s="1" t="s">
        <v>161</v>
      </c>
      <c r="C52" s="1" t="s">
        <v>211</v>
      </c>
      <c r="D52" s="1">
        <v>80</v>
      </c>
      <c r="E52" s="1">
        <v>58</v>
      </c>
      <c r="F52" s="1">
        <v>55</v>
      </c>
      <c r="G52" s="1">
        <v>17</v>
      </c>
      <c r="H52" s="1">
        <v>61</v>
      </c>
      <c r="I52" s="1">
        <v>271</v>
      </c>
      <c r="J52" s="1">
        <v>500</v>
      </c>
      <c r="K52" s="7">
        <v>0.54200000000000004</v>
      </c>
      <c r="L52" s="7">
        <v>0.45800000000000002</v>
      </c>
    </row>
    <row r="53" spans="1:12" x14ac:dyDescent="0.25">
      <c r="A53" s="1" t="s">
        <v>63</v>
      </c>
      <c r="B53" s="1" t="s">
        <v>162</v>
      </c>
      <c r="C53" s="1" t="s">
        <v>212</v>
      </c>
      <c r="D53" s="1">
        <v>39</v>
      </c>
      <c r="E53" s="1">
        <v>63</v>
      </c>
      <c r="F53" s="1">
        <v>44</v>
      </c>
      <c r="G53" s="1">
        <v>100</v>
      </c>
      <c r="H53" s="1">
        <v>48</v>
      </c>
      <c r="I53" s="1">
        <v>294</v>
      </c>
      <c r="J53" s="1">
        <v>500</v>
      </c>
      <c r="K53" s="7">
        <v>0.58799999999999997</v>
      </c>
      <c r="L53" s="7">
        <v>0.41199999999999998</v>
      </c>
    </row>
    <row r="54" spans="1:12" x14ac:dyDescent="0.25">
      <c r="A54" s="1" t="s">
        <v>64</v>
      </c>
      <c r="B54" s="1" t="s">
        <v>163</v>
      </c>
      <c r="C54" s="1" t="s">
        <v>211</v>
      </c>
      <c r="D54" s="1">
        <v>83</v>
      </c>
      <c r="E54" s="1">
        <v>76</v>
      </c>
      <c r="F54" s="1">
        <v>40</v>
      </c>
      <c r="G54" s="1">
        <v>71</v>
      </c>
      <c r="H54" s="1">
        <v>89</v>
      </c>
      <c r="I54" s="1">
        <v>359</v>
      </c>
      <c r="J54" s="1">
        <v>500</v>
      </c>
      <c r="K54" s="7">
        <v>0.71799999999999997</v>
      </c>
      <c r="L54" s="7">
        <v>0.28199999999999997</v>
      </c>
    </row>
    <row r="55" spans="1:12" x14ac:dyDescent="0.25">
      <c r="A55" s="1" t="s">
        <v>65</v>
      </c>
      <c r="B55" s="1" t="s">
        <v>164</v>
      </c>
      <c r="C55" s="1" t="s">
        <v>215</v>
      </c>
      <c r="D55" s="1">
        <v>11</v>
      </c>
      <c r="E55" s="1">
        <v>92</v>
      </c>
      <c r="F55" s="1">
        <v>11</v>
      </c>
      <c r="G55" s="1">
        <v>55</v>
      </c>
      <c r="H55" s="1">
        <v>13</v>
      </c>
      <c r="I55" s="1">
        <v>182</v>
      </c>
      <c r="J55" s="1">
        <v>500</v>
      </c>
      <c r="K55" s="7">
        <v>0.36399999999999999</v>
      </c>
      <c r="L55" s="7">
        <v>0.63600000000000001</v>
      </c>
    </row>
    <row r="56" spans="1:12" x14ac:dyDescent="0.25">
      <c r="A56" s="1" t="s">
        <v>66</v>
      </c>
      <c r="B56" s="1" t="s">
        <v>165</v>
      </c>
      <c r="C56" s="1" t="s">
        <v>214</v>
      </c>
      <c r="D56" s="1">
        <v>83</v>
      </c>
      <c r="E56" s="1">
        <v>10</v>
      </c>
      <c r="F56" s="1">
        <v>54</v>
      </c>
      <c r="G56" s="1">
        <v>85</v>
      </c>
      <c r="H56" s="1">
        <v>70</v>
      </c>
      <c r="I56" s="1">
        <v>302</v>
      </c>
      <c r="J56" s="1">
        <v>500</v>
      </c>
      <c r="K56" s="7">
        <v>0.60399999999999998</v>
      </c>
      <c r="L56" s="7">
        <v>0.39600000000000002</v>
      </c>
    </row>
    <row r="57" spans="1:12" x14ac:dyDescent="0.25">
      <c r="A57" s="1" t="s">
        <v>67</v>
      </c>
      <c r="B57" s="1" t="s">
        <v>166</v>
      </c>
      <c r="C57" s="1" t="s">
        <v>212</v>
      </c>
      <c r="D57" s="1">
        <v>70</v>
      </c>
      <c r="E57" s="1">
        <v>11</v>
      </c>
      <c r="F57" s="1">
        <v>92</v>
      </c>
      <c r="G57" s="1">
        <v>37</v>
      </c>
      <c r="H57" s="1">
        <v>41</v>
      </c>
      <c r="I57" s="1">
        <v>251</v>
      </c>
      <c r="J57" s="1">
        <v>500</v>
      </c>
      <c r="K57" s="7">
        <v>0.502</v>
      </c>
      <c r="L57" s="7">
        <v>0.498</v>
      </c>
    </row>
    <row r="58" spans="1:12" x14ac:dyDescent="0.25">
      <c r="A58" s="1" t="s">
        <v>68</v>
      </c>
      <c r="B58" s="1" t="s">
        <v>167</v>
      </c>
      <c r="C58" s="1" t="s">
        <v>217</v>
      </c>
      <c r="D58" s="1">
        <v>43</v>
      </c>
      <c r="E58" s="1">
        <v>24</v>
      </c>
      <c r="F58" s="1">
        <v>53</v>
      </c>
      <c r="G58" s="1">
        <v>43</v>
      </c>
      <c r="H58" s="1">
        <v>65</v>
      </c>
      <c r="I58" s="1">
        <v>228</v>
      </c>
      <c r="J58" s="1">
        <v>500</v>
      </c>
      <c r="K58" s="7">
        <v>0.45600000000000002</v>
      </c>
      <c r="L58" s="7">
        <v>0.54400000000000004</v>
      </c>
    </row>
    <row r="59" spans="1:12" x14ac:dyDescent="0.25">
      <c r="A59" s="1" t="s">
        <v>69</v>
      </c>
      <c r="B59" s="1" t="s">
        <v>168</v>
      </c>
      <c r="C59" s="1" t="s">
        <v>216</v>
      </c>
      <c r="D59" s="1">
        <v>26</v>
      </c>
      <c r="E59" s="1">
        <v>70</v>
      </c>
      <c r="F59" s="1">
        <v>59</v>
      </c>
      <c r="G59" s="1">
        <v>36</v>
      </c>
      <c r="H59" s="1">
        <v>19</v>
      </c>
      <c r="I59" s="1">
        <v>210</v>
      </c>
      <c r="J59" s="1">
        <v>500</v>
      </c>
      <c r="K59" s="7">
        <v>0.42</v>
      </c>
      <c r="L59" s="7">
        <v>0.57999999999999996</v>
      </c>
    </row>
    <row r="60" spans="1:12" x14ac:dyDescent="0.25">
      <c r="A60" s="1" t="s">
        <v>70</v>
      </c>
      <c r="B60" s="1" t="s">
        <v>169</v>
      </c>
      <c r="C60" s="1" t="s">
        <v>211</v>
      </c>
      <c r="D60" s="1">
        <v>58</v>
      </c>
      <c r="E60" s="1">
        <v>89</v>
      </c>
      <c r="F60" s="1">
        <v>52</v>
      </c>
      <c r="G60" s="1">
        <v>32</v>
      </c>
      <c r="H60" s="1">
        <v>23</v>
      </c>
      <c r="I60" s="1">
        <v>254</v>
      </c>
      <c r="J60" s="1">
        <v>500</v>
      </c>
      <c r="K60" s="7">
        <v>0.50800000000000001</v>
      </c>
      <c r="L60" s="7">
        <v>0.49199999999999999</v>
      </c>
    </row>
    <row r="61" spans="1:12" x14ac:dyDescent="0.25">
      <c r="A61" s="1" t="s">
        <v>71</v>
      </c>
      <c r="B61" s="1" t="s">
        <v>170</v>
      </c>
      <c r="C61" s="1" t="s">
        <v>210</v>
      </c>
      <c r="D61" s="1">
        <v>18</v>
      </c>
      <c r="E61" s="1">
        <v>13</v>
      </c>
      <c r="F61" s="1">
        <v>96</v>
      </c>
      <c r="G61" s="1">
        <v>25</v>
      </c>
      <c r="H61" s="1">
        <v>16</v>
      </c>
      <c r="I61" s="1">
        <v>168</v>
      </c>
      <c r="J61" s="1">
        <v>500</v>
      </c>
      <c r="K61" s="7">
        <v>0.33600000000000002</v>
      </c>
      <c r="L61" s="7">
        <v>0.66400000000000003</v>
      </c>
    </row>
    <row r="62" spans="1:12" x14ac:dyDescent="0.25">
      <c r="A62" s="1" t="s">
        <v>72</v>
      </c>
      <c r="B62" s="1" t="s">
        <v>171</v>
      </c>
      <c r="C62" s="1" t="s">
        <v>212</v>
      </c>
      <c r="D62" s="1">
        <v>63</v>
      </c>
      <c r="E62" s="1">
        <v>48</v>
      </c>
      <c r="F62" s="1">
        <v>58</v>
      </c>
      <c r="G62" s="1">
        <v>83</v>
      </c>
      <c r="H62" s="1">
        <v>57</v>
      </c>
      <c r="I62" s="1">
        <v>309</v>
      </c>
      <c r="J62" s="1">
        <v>500</v>
      </c>
      <c r="K62" s="7">
        <v>0.61799999999999999</v>
      </c>
      <c r="L62" s="7">
        <v>0.38200000000000001</v>
      </c>
    </row>
    <row r="63" spans="1:12" x14ac:dyDescent="0.25">
      <c r="A63" s="1" t="s">
        <v>73</v>
      </c>
      <c r="B63" s="1" t="s">
        <v>172</v>
      </c>
      <c r="C63" s="1" t="s">
        <v>214</v>
      </c>
      <c r="D63" s="1">
        <v>82</v>
      </c>
      <c r="E63" s="1">
        <v>39</v>
      </c>
      <c r="F63" s="1">
        <v>70</v>
      </c>
      <c r="G63" s="1">
        <v>85</v>
      </c>
      <c r="H63" s="1">
        <v>98</v>
      </c>
      <c r="I63" s="1">
        <v>374</v>
      </c>
      <c r="J63" s="1">
        <v>500</v>
      </c>
      <c r="K63" s="7">
        <v>0.748</v>
      </c>
      <c r="L63" s="7">
        <v>0.252</v>
      </c>
    </row>
    <row r="64" spans="1:12" x14ac:dyDescent="0.25">
      <c r="A64" s="1" t="s">
        <v>74</v>
      </c>
      <c r="B64" s="1" t="s">
        <v>173</v>
      </c>
      <c r="C64" s="1" t="s">
        <v>214</v>
      </c>
      <c r="D64" s="1">
        <v>76</v>
      </c>
      <c r="E64" s="1">
        <v>69</v>
      </c>
      <c r="F64" s="1">
        <v>34</v>
      </c>
      <c r="G64" s="1">
        <v>91</v>
      </c>
      <c r="H64" s="1">
        <v>83</v>
      </c>
      <c r="I64" s="1">
        <v>353</v>
      </c>
      <c r="J64" s="1">
        <v>500</v>
      </c>
      <c r="K64" s="7">
        <v>0.70599999999999996</v>
      </c>
      <c r="L64" s="7">
        <v>0.29399999999999998</v>
      </c>
    </row>
    <row r="65" spans="1:12" x14ac:dyDescent="0.25">
      <c r="A65" s="1" t="s">
        <v>75</v>
      </c>
      <c r="B65" s="1" t="s">
        <v>174</v>
      </c>
      <c r="C65" s="1" t="s">
        <v>215</v>
      </c>
      <c r="D65" s="1">
        <v>57</v>
      </c>
      <c r="E65" s="1">
        <v>81</v>
      </c>
      <c r="F65" s="1">
        <v>47</v>
      </c>
      <c r="G65" s="1">
        <v>20</v>
      </c>
      <c r="H65" s="1">
        <v>68</v>
      </c>
      <c r="I65" s="1">
        <v>273</v>
      </c>
      <c r="J65" s="1">
        <v>500</v>
      </c>
      <c r="K65" s="7">
        <v>0.54600000000000004</v>
      </c>
      <c r="L65" s="7">
        <v>0.45400000000000001</v>
      </c>
    </row>
    <row r="66" spans="1:12" x14ac:dyDescent="0.25">
      <c r="A66" s="1" t="s">
        <v>76</v>
      </c>
      <c r="B66" s="1" t="s">
        <v>175</v>
      </c>
      <c r="C66" s="1" t="s">
        <v>213</v>
      </c>
      <c r="D66" s="1">
        <v>63</v>
      </c>
      <c r="E66" s="1">
        <v>10</v>
      </c>
      <c r="F66" s="1">
        <v>48</v>
      </c>
      <c r="G66" s="1">
        <v>60</v>
      </c>
      <c r="H66" s="1">
        <v>53</v>
      </c>
      <c r="I66" s="1">
        <v>234</v>
      </c>
      <c r="J66" s="1">
        <v>500</v>
      </c>
      <c r="K66" s="7">
        <v>0.46800000000000003</v>
      </c>
      <c r="L66" s="7">
        <v>0.53200000000000003</v>
      </c>
    </row>
    <row r="67" spans="1:12" x14ac:dyDescent="0.25">
      <c r="A67" s="1" t="s">
        <v>77</v>
      </c>
      <c r="B67" s="1" t="s">
        <v>176</v>
      </c>
      <c r="C67" s="1" t="s">
        <v>211</v>
      </c>
      <c r="D67" s="1">
        <v>12</v>
      </c>
      <c r="E67" s="1">
        <v>43</v>
      </c>
      <c r="F67" s="1">
        <v>58</v>
      </c>
      <c r="G67" s="1">
        <v>36</v>
      </c>
      <c r="H67" s="1">
        <v>91</v>
      </c>
      <c r="I67" s="1">
        <v>240</v>
      </c>
      <c r="J67" s="1">
        <v>500</v>
      </c>
      <c r="K67" s="7">
        <v>0.48</v>
      </c>
      <c r="L67" s="7">
        <v>0.52</v>
      </c>
    </row>
    <row r="68" spans="1:12" x14ac:dyDescent="0.25">
      <c r="A68" s="1" t="s">
        <v>78</v>
      </c>
      <c r="B68" s="1" t="s">
        <v>177</v>
      </c>
      <c r="C68" s="1" t="s">
        <v>217</v>
      </c>
      <c r="D68" s="1">
        <v>22</v>
      </c>
      <c r="E68" s="1">
        <v>49</v>
      </c>
      <c r="F68" s="1">
        <v>32</v>
      </c>
      <c r="G68" s="1">
        <v>18</v>
      </c>
      <c r="H68" s="1">
        <v>75</v>
      </c>
      <c r="I68" s="1">
        <v>196</v>
      </c>
      <c r="J68" s="1">
        <v>500</v>
      </c>
      <c r="K68" s="7">
        <v>0.39200000000000002</v>
      </c>
      <c r="L68" s="7">
        <v>0.60799999999999998</v>
      </c>
    </row>
    <row r="69" spans="1:12" x14ac:dyDescent="0.25">
      <c r="A69" s="1" t="s">
        <v>79</v>
      </c>
      <c r="B69" s="1" t="s">
        <v>178</v>
      </c>
      <c r="C69" s="1" t="s">
        <v>216</v>
      </c>
      <c r="D69" s="1">
        <v>79</v>
      </c>
      <c r="E69" s="1">
        <v>14</v>
      </c>
      <c r="F69" s="1">
        <v>94</v>
      </c>
      <c r="G69" s="1">
        <v>86</v>
      </c>
      <c r="H69" s="1">
        <v>81</v>
      </c>
      <c r="I69" s="1">
        <v>354</v>
      </c>
      <c r="J69" s="1">
        <v>500</v>
      </c>
      <c r="K69" s="7">
        <v>0.70799999999999996</v>
      </c>
      <c r="L69" s="7">
        <v>0.29199999999999998</v>
      </c>
    </row>
    <row r="70" spans="1:12" x14ac:dyDescent="0.25">
      <c r="A70" s="1" t="s">
        <v>80</v>
      </c>
      <c r="B70" s="1" t="s">
        <v>179</v>
      </c>
      <c r="C70" s="1" t="s">
        <v>211</v>
      </c>
      <c r="D70" s="1">
        <v>46</v>
      </c>
      <c r="E70" s="1">
        <v>65</v>
      </c>
      <c r="F70" s="1">
        <v>63</v>
      </c>
      <c r="G70" s="1">
        <v>85</v>
      </c>
      <c r="H70" s="1">
        <v>24</v>
      </c>
      <c r="I70" s="1">
        <v>283</v>
      </c>
      <c r="J70" s="1">
        <v>500</v>
      </c>
      <c r="K70" s="7">
        <v>0.56599999999999995</v>
      </c>
      <c r="L70" s="7">
        <v>0.434</v>
      </c>
    </row>
    <row r="71" spans="1:12" x14ac:dyDescent="0.25">
      <c r="A71" s="1" t="s">
        <v>81</v>
      </c>
      <c r="B71" s="1" t="s">
        <v>180</v>
      </c>
      <c r="C71" s="1" t="s">
        <v>211</v>
      </c>
      <c r="D71" s="1">
        <v>32</v>
      </c>
      <c r="E71" s="1">
        <v>12</v>
      </c>
      <c r="F71" s="1">
        <v>50</v>
      </c>
      <c r="G71" s="1">
        <v>79</v>
      </c>
      <c r="H71" s="1">
        <v>40</v>
      </c>
      <c r="I71" s="1">
        <v>213</v>
      </c>
      <c r="J71" s="1">
        <v>500</v>
      </c>
      <c r="K71" s="7">
        <v>0.42599999999999999</v>
      </c>
      <c r="L71" s="7">
        <v>0.57399999999999995</v>
      </c>
    </row>
    <row r="72" spans="1:12" x14ac:dyDescent="0.25">
      <c r="A72" s="1" t="s">
        <v>82</v>
      </c>
      <c r="B72" s="1" t="s">
        <v>181</v>
      </c>
      <c r="C72" s="1" t="s">
        <v>215</v>
      </c>
      <c r="D72" s="1">
        <v>86</v>
      </c>
      <c r="E72" s="1">
        <v>52</v>
      </c>
      <c r="F72" s="1">
        <v>81</v>
      </c>
      <c r="G72" s="1">
        <v>66</v>
      </c>
      <c r="H72" s="1">
        <v>88</v>
      </c>
      <c r="I72" s="1">
        <v>373</v>
      </c>
      <c r="J72" s="1">
        <v>500</v>
      </c>
      <c r="K72" s="7">
        <v>0.746</v>
      </c>
      <c r="L72" s="7">
        <v>0.254</v>
      </c>
    </row>
    <row r="73" spans="1:12" x14ac:dyDescent="0.25">
      <c r="A73" s="1" t="s">
        <v>83</v>
      </c>
      <c r="B73" s="1" t="s">
        <v>182</v>
      </c>
      <c r="C73" s="1" t="s">
        <v>210</v>
      </c>
      <c r="D73" s="1">
        <v>17</v>
      </c>
      <c r="E73" s="1">
        <v>96</v>
      </c>
      <c r="F73" s="1">
        <v>81</v>
      </c>
      <c r="G73" s="1">
        <v>22</v>
      </c>
      <c r="H73" s="1">
        <v>36</v>
      </c>
      <c r="I73" s="1">
        <v>252</v>
      </c>
      <c r="J73" s="1">
        <v>500</v>
      </c>
      <c r="K73" s="7">
        <v>0.504</v>
      </c>
      <c r="L73" s="7">
        <v>0.496</v>
      </c>
    </row>
    <row r="74" spans="1:12" x14ac:dyDescent="0.25">
      <c r="A74" s="1" t="s">
        <v>84</v>
      </c>
      <c r="B74" s="1" t="s">
        <v>183</v>
      </c>
      <c r="C74" s="1" t="s">
        <v>212</v>
      </c>
      <c r="D74" s="1">
        <v>77</v>
      </c>
      <c r="E74" s="1">
        <v>83</v>
      </c>
      <c r="F74" s="1">
        <v>55</v>
      </c>
      <c r="G74" s="1">
        <v>37</v>
      </c>
      <c r="H74" s="1">
        <v>17</v>
      </c>
      <c r="I74" s="1">
        <v>269</v>
      </c>
      <c r="J74" s="1">
        <v>500</v>
      </c>
      <c r="K74" s="7">
        <v>0.53800000000000003</v>
      </c>
      <c r="L74" s="7">
        <v>0.46200000000000002</v>
      </c>
    </row>
    <row r="75" spans="1:12" x14ac:dyDescent="0.25">
      <c r="A75" s="1" t="s">
        <v>85</v>
      </c>
      <c r="B75" s="1" t="s">
        <v>184</v>
      </c>
      <c r="C75" s="1" t="s">
        <v>211</v>
      </c>
      <c r="D75" s="1">
        <v>80</v>
      </c>
      <c r="E75" s="1">
        <v>39</v>
      </c>
      <c r="F75" s="1">
        <v>95</v>
      </c>
      <c r="G75" s="1">
        <v>70</v>
      </c>
      <c r="H75" s="1">
        <v>10</v>
      </c>
      <c r="I75" s="1">
        <v>294</v>
      </c>
      <c r="J75" s="1">
        <v>500</v>
      </c>
      <c r="K75" s="7">
        <v>0.58799999999999997</v>
      </c>
      <c r="L75" s="7">
        <v>0.41199999999999998</v>
      </c>
    </row>
    <row r="76" spans="1:12" x14ac:dyDescent="0.25">
      <c r="A76" s="1" t="s">
        <v>86</v>
      </c>
      <c r="B76" s="1" t="s">
        <v>185</v>
      </c>
      <c r="C76" s="1" t="s">
        <v>212</v>
      </c>
      <c r="D76" s="1">
        <v>69</v>
      </c>
      <c r="E76" s="1">
        <v>11</v>
      </c>
      <c r="F76" s="1">
        <v>36</v>
      </c>
      <c r="G76" s="1">
        <v>86</v>
      </c>
      <c r="H76" s="1">
        <v>59</v>
      </c>
      <c r="I76" s="1">
        <v>261</v>
      </c>
      <c r="J76" s="1">
        <v>500</v>
      </c>
      <c r="K76" s="7">
        <v>0.52200000000000002</v>
      </c>
      <c r="L76" s="7">
        <v>0.47799999999999998</v>
      </c>
    </row>
    <row r="77" spans="1:12" x14ac:dyDescent="0.25">
      <c r="A77" s="1" t="s">
        <v>87</v>
      </c>
      <c r="B77" s="1" t="s">
        <v>186</v>
      </c>
      <c r="C77" s="1" t="s">
        <v>213</v>
      </c>
      <c r="D77" s="1">
        <v>74</v>
      </c>
      <c r="E77" s="1">
        <v>45</v>
      </c>
      <c r="F77" s="1">
        <v>91</v>
      </c>
      <c r="G77" s="1">
        <v>55</v>
      </c>
      <c r="H77" s="1">
        <v>92</v>
      </c>
      <c r="I77" s="1">
        <v>357</v>
      </c>
      <c r="J77" s="1">
        <v>500</v>
      </c>
      <c r="K77" s="7">
        <v>0.71399999999999997</v>
      </c>
      <c r="L77" s="7">
        <v>0.28599999999999998</v>
      </c>
    </row>
    <row r="78" spans="1:12" x14ac:dyDescent="0.25">
      <c r="A78" s="1" t="s">
        <v>88</v>
      </c>
      <c r="B78" s="1" t="s">
        <v>187</v>
      </c>
      <c r="C78" s="1" t="s">
        <v>213</v>
      </c>
      <c r="D78" s="1">
        <v>10</v>
      </c>
      <c r="E78" s="1">
        <v>25</v>
      </c>
      <c r="F78" s="1">
        <v>80</v>
      </c>
      <c r="G78" s="1">
        <v>69</v>
      </c>
      <c r="H78" s="1">
        <v>20</v>
      </c>
      <c r="I78" s="1">
        <v>204</v>
      </c>
      <c r="J78" s="1">
        <v>500</v>
      </c>
      <c r="K78" s="7">
        <v>0.40799999999999997</v>
      </c>
      <c r="L78" s="7">
        <v>0.59199999999999997</v>
      </c>
    </row>
    <row r="79" spans="1:12" x14ac:dyDescent="0.25">
      <c r="A79" s="1" t="s">
        <v>89</v>
      </c>
      <c r="B79" s="1" t="s">
        <v>188</v>
      </c>
      <c r="C79" s="1" t="s">
        <v>212</v>
      </c>
      <c r="D79" s="1">
        <v>10</v>
      </c>
      <c r="E79" s="1">
        <v>78</v>
      </c>
      <c r="F79" s="1">
        <v>47</v>
      </c>
      <c r="G79" s="1">
        <v>45</v>
      </c>
      <c r="H79" s="1">
        <v>49</v>
      </c>
      <c r="I79" s="1">
        <v>229</v>
      </c>
      <c r="J79" s="1">
        <v>500</v>
      </c>
      <c r="K79" s="7">
        <v>0.45800000000000002</v>
      </c>
      <c r="L79" s="7">
        <v>0.54200000000000004</v>
      </c>
    </row>
    <row r="80" spans="1:12" x14ac:dyDescent="0.25">
      <c r="A80" s="1" t="s">
        <v>90</v>
      </c>
      <c r="B80" s="1" t="s">
        <v>189</v>
      </c>
      <c r="C80" s="1" t="s">
        <v>211</v>
      </c>
      <c r="D80" s="1">
        <v>29</v>
      </c>
      <c r="E80" s="1">
        <v>89</v>
      </c>
      <c r="F80" s="1">
        <v>68</v>
      </c>
      <c r="G80" s="1">
        <v>55</v>
      </c>
      <c r="H80" s="1">
        <v>56</v>
      </c>
      <c r="I80" s="1">
        <v>297</v>
      </c>
      <c r="J80" s="1">
        <v>500</v>
      </c>
      <c r="K80" s="7">
        <v>0.59399999999999997</v>
      </c>
      <c r="L80" s="7">
        <v>0.40600000000000003</v>
      </c>
    </row>
    <row r="81" spans="1:12" x14ac:dyDescent="0.25">
      <c r="A81" s="1" t="s">
        <v>91</v>
      </c>
      <c r="B81" s="1" t="s">
        <v>190</v>
      </c>
      <c r="C81" s="1" t="s">
        <v>216</v>
      </c>
      <c r="D81" s="1">
        <v>76</v>
      </c>
      <c r="E81" s="1">
        <v>78</v>
      </c>
      <c r="F81" s="1">
        <v>84</v>
      </c>
      <c r="G81" s="1">
        <v>83</v>
      </c>
      <c r="H81" s="1">
        <v>28</v>
      </c>
      <c r="I81" s="1">
        <v>349</v>
      </c>
      <c r="J81" s="1">
        <v>500</v>
      </c>
      <c r="K81" s="7">
        <v>0.69799999999999995</v>
      </c>
      <c r="L81" s="7">
        <v>0.30199999999999999</v>
      </c>
    </row>
    <row r="82" spans="1:12" x14ac:dyDescent="0.25">
      <c r="A82" s="1" t="s">
        <v>92</v>
      </c>
      <c r="B82" s="1" t="s">
        <v>191</v>
      </c>
      <c r="C82" s="1" t="s">
        <v>214</v>
      </c>
      <c r="D82" s="1">
        <v>86</v>
      </c>
      <c r="E82" s="1">
        <v>88</v>
      </c>
      <c r="F82" s="1">
        <v>93</v>
      </c>
      <c r="G82" s="1">
        <v>68</v>
      </c>
      <c r="H82" s="1">
        <v>97</v>
      </c>
      <c r="I82" s="1">
        <v>432</v>
      </c>
      <c r="J82" s="1">
        <v>500</v>
      </c>
      <c r="K82" s="7">
        <v>0.86399999999999999</v>
      </c>
      <c r="L82" s="7">
        <v>0.13600000000000001</v>
      </c>
    </row>
    <row r="83" spans="1:12" x14ac:dyDescent="0.25">
      <c r="A83" s="1" t="s">
        <v>93</v>
      </c>
      <c r="B83" s="1" t="s">
        <v>192</v>
      </c>
      <c r="C83" s="1" t="s">
        <v>214</v>
      </c>
      <c r="D83" s="1">
        <v>69</v>
      </c>
      <c r="E83" s="1">
        <v>39</v>
      </c>
      <c r="F83" s="1">
        <v>81</v>
      </c>
      <c r="G83" s="1">
        <v>59</v>
      </c>
      <c r="H83" s="1">
        <v>92</v>
      </c>
      <c r="I83" s="1">
        <v>340</v>
      </c>
      <c r="J83" s="1">
        <v>500</v>
      </c>
      <c r="K83" s="7">
        <v>0.68</v>
      </c>
      <c r="L83" s="7">
        <v>0.32</v>
      </c>
    </row>
    <row r="84" spans="1:12" x14ac:dyDescent="0.25">
      <c r="A84" s="1" t="s">
        <v>94</v>
      </c>
      <c r="B84" s="1" t="s">
        <v>193</v>
      </c>
      <c r="C84" s="1" t="s">
        <v>214</v>
      </c>
      <c r="D84" s="1">
        <v>49</v>
      </c>
      <c r="E84" s="1">
        <v>66</v>
      </c>
      <c r="F84" s="1">
        <v>26</v>
      </c>
      <c r="G84" s="1">
        <v>23</v>
      </c>
      <c r="H84" s="1">
        <v>12</v>
      </c>
      <c r="I84" s="1">
        <v>176</v>
      </c>
      <c r="J84" s="1">
        <v>500</v>
      </c>
      <c r="K84" s="7">
        <v>0.35199999999999998</v>
      </c>
      <c r="L84" s="7">
        <v>0.64800000000000002</v>
      </c>
    </row>
    <row r="85" spans="1:12" x14ac:dyDescent="0.25">
      <c r="A85" s="1" t="s">
        <v>95</v>
      </c>
      <c r="B85" s="1" t="s">
        <v>194</v>
      </c>
      <c r="C85" s="1" t="s">
        <v>217</v>
      </c>
      <c r="D85" s="1">
        <v>24</v>
      </c>
      <c r="E85" s="1">
        <v>20</v>
      </c>
      <c r="F85" s="1">
        <v>41</v>
      </c>
      <c r="G85" s="1">
        <v>32</v>
      </c>
      <c r="H85" s="1">
        <v>31</v>
      </c>
      <c r="I85" s="1">
        <v>148</v>
      </c>
      <c r="J85" s="1">
        <v>500</v>
      </c>
      <c r="K85" s="7">
        <v>0.29599999999999999</v>
      </c>
      <c r="L85" s="7">
        <v>0.70399999999999996</v>
      </c>
    </row>
    <row r="86" spans="1:12" x14ac:dyDescent="0.25">
      <c r="A86" s="1" t="s">
        <v>96</v>
      </c>
      <c r="B86" s="1" t="s">
        <v>195</v>
      </c>
      <c r="C86" s="1" t="s">
        <v>211</v>
      </c>
      <c r="D86" s="1">
        <v>21</v>
      </c>
      <c r="E86" s="1">
        <v>97</v>
      </c>
      <c r="F86" s="1">
        <v>73</v>
      </c>
      <c r="G86" s="1">
        <v>39</v>
      </c>
      <c r="H86" s="1">
        <v>81</v>
      </c>
      <c r="I86" s="1">
        <v>311</v>
      </c>
      <c r="J86" s="1">
        <v>500</v>
      </c>
      <c r="K86" s="7">
        <v>0.622</v>
      </c>
      <c r="L86" s="7">
        <v>0.378</v>
      </c>
    </row>
    <row r="87" spans="1:12" x14ac:dyDescent="0.25">
      <c r="A87" s="1" t="s">
        <v>97</v>
      </c>
      <c r="B87" s="1" t="s">
        <v>196</v>
      </c>
      <c r="C87" s="1" t="s">
        <v>211</v>
      </c>
      <c r="D87" s="1">
        <v>28</v>
      </c>
      <c r="E87" s="1">
        <v>24</v>
      </c>
      <c r="F87" s="1">
        <v>98</v>
      </c>
      <c r="G87" s="1">
        <v>37</v>
      </c>
      <c r="H87" s="1">
        <v>58</v>
      </c>
      <c r="I87" s="1">
        <v>245</v>
      </c>
      <c r="J87" s="1">
        <v>500</v>
      </c>
      <c r="K87" s="7">
        <v>0.49</v>
      </c>
      <c r="L87" s="7">
        <v>0.51</v>
      </c>
    </row>
    <row r="88" spans="1:12" x14ac:dyDescent="0.25">
      <c r="A88" s="1" t="s">
        <v>98</v>
      </c>
      <c r="B88" s="1" t="s">
        <v>197</v>
      </c>
      <c r="C88" s="1" t="s">
        <v>213</v>
      </c>
      <c r="D88" s="1">
        <v>82</v>
      </c>
      <c r="E88" s="1">
        <v>52</v>
      </c>
      <c r="F88" s="1">
        <v>88</v>
      </c>
      <c r="G88" s="1">
        <v>49</v>
      </c>
      <c r="H88" s="1">
        <v>58</v>
      </c>
      <c r="I88" s="1">
        <v>329</v>
      </c>
      <c r="J88" s="1">
        <v>500</v>
      </c>
      <c r="K88" s="7">
        <v>0.65800000000000003</v>
      </c>
      <c r="L88" s="7">
        <v>0.34200000000000003</v>
      </c>
    </row>
    <row r="89" spans="1:12" x14ac:dyDescent="0.25">
      <c r="A89" s="1" t="s">
        <v>99</v>
      </c>
      <c r="B89" s="1" t="s">
        <v>198</v>
      </c>
      <c r="C89" s="1" t="s">
        <v>214</v>
      </c>
      <c r="D89" s="1">
        <v>27</v>
      </c>
      <c r="E89" s="1">
        <v>88</v>
      </c>
      <c r="F89" s="1">
        <v>96</v>
      </c>
      <c r="G89" s="1">
        <v>26</v>
      </c>
      <c r="H89" s="1">
        <v>99</v>
      </c>
      <c r="I89" s="1">
        <v>336</v>
      </c>
      <c r="J89" s="1">
        <v>500</v>
      </c>
      <c r="K89" s="7">
        <v>0.67200000000000004</v>
      </c>
      <c r="L89" s="7">
        <v>0.32800000000000001</v>
      </c>
    </row>
    <row r="90" spans="1:12" x14ac:dyDescent="0.25">
      <c r="A90" s="1" t="s">
        <v>100</v>
      </c>
      <c r="B90" s="1" t="s">
        <v>199</v>
      </c>
      <c r="C90" s="1" t="s">
        <v>215</v>
      </c>
      <c r="D90" s="1">
        <v>35</v>
      </c>
      <c r="E90" s="1">
        <v>21</v>
      </c>
      <c r="F90" s="1">
        <v>98</v>
      </c>
      <c r="G90" s="1">
        <v>50</v>
      </c>
      <c r="H90" s="1">
        <v>97</v>
      </c>
      <c r="I90" s="1">
        <v>301</v>
      </c>
      <c r="J90" s="1">
        <v>500</v>
      </c>
      <c r="K90" s="7">
        <v>0.60199999999999998</v>
      </c>
      <c r="L90" s="7">
        <v>0.39800000000000002</v>
      </c>
    </row>
    <row r="91" spans="1:12" x14ac:dyDescent="0.25">
      <c r="A91" s="1" t="s">
        <v>101</v>
      </c>
      <c r="B91" s="1" t="s">
        <v>200</v>
      </c>
      <c r="C91" s="1" t="s">
        <v>217</v>
      </c>
      <c r="D91" s="1">
        <v>98</v>
      </c>
      <c r="E91" s="1">
        <v>86</v>
      </c>
      <c r="F91" s="1">
        <v>55</v>
      </c>
      <c r="G91" s="1">
        <v>32</v>
      </c>
      <c r="H91" s="1">
        <v>42</v>
      </c>
      <c r="I91" s="1">
        <v>313</v>
      </c>
      <c r="J91" s="1">
        <v>500</v>
      </c>
      <c r="K91" s="7">
        <v>0.626</v>
      </c>
      <c r="L91" s="7">
        <v>0.374</v>
      </c>
    </row>
    <row r="92" spans="1:12" x14ac:dyDescent="0.25">
      <c r="A92" s="1" t="s">
        <v>102</v>
      </c>
      <c r="B92" s="1" t="s">
        <v>201</v>
      </c>
      <c r="C92" s="1" t="s">
        <v>210</v>
      </c>
      <c r="D92" s="1">
        <v>35</v>
      </c>
      <c r="E92" s="1">
        <v>39</v>
      </c>
      <c r="F92" s="1">
        <v>30</v>
      </c>
      <c r="G92" s="1">
        <v>83</v>
      </c>
      <c r="H92" s="1">
        <v>48</v>
      </c>
      <c r="I92" s="1">
        <v>235</v>
      </c>
      <c r="J92" s="1">
        <v>500</v>
      </c>
      <c r="K92" s="7">
        <v>0.47</v>
      </c>
      <c r="L92" s="7">
        <v>0.53</v>
      </c>
    </row>
    <row r="93" spans="1:12" x14ac:dyDescent="0.25">
      <c r="A93" s="1" t="s">
        <v>103</v>
      </c>
      <c r="B93" s="1" t="s">
        <v>202</v>
      </c>
      <c r="C93" s="1" t="s">
        <v>215</v>
      </c>
      <c r="D93" s="1">
        <v>95</v>
      </c>
      <c r="E93" s="1">
        <v>28</v>
      </c>
      <c r="F93" s="1">
        <v>77</v>
      </c>
      <c r="G93" s="1">
        <v>41</v>
      </c>
      <c r="H93" s="1">
        <v>17</v>
      </c>
      <c r="I93" s="1">
        <v>258</v>
      </c>
      <c r="J93" s="1">
        <v>500</v>
      </c>
      <c r="K93" s="7">
        <v>0.51600000000000001</v>
      </c>
      <c r="L93" s="7">
        <v>0.48399999999999999</v>
      </c>
    </row>
    <row r="94" spans="1:12" x14ac:dyDescent="0.25">
      <c r="A94" s="1" t="s">
        <v>104</v>
      </c>
      <c r="B94" s="1" t="s">
        <v>203</v>
      </c>
      <c r="C94" s="1" t="s">
        <v>212</v>
      </c>
      <c r="D94" s="1">
        <v>46</v>
      </c>
      <c r="E94" s="1">
        <v>16</v>
      </c>
      <c r="F94" s="1">
        <v>63</v>
      </c>
      <c r="G94" s="1">
        <v>94</v>
      </c>
      <c r="H94" s="1">
        <v>62</v>
      </c>
      <c r="I94" s="1">
        <v>281</v>
      </c>
      <c r="J94" s="1">
        <v>500</v>
      </c>
      <c r="K94" s="7">
        <v>0.56200000000000006</v>
      </c>
      <c r="L94" s="7">
        <v>0.438</v>
      </c>
    </row>
    <row r="95" spans="1:12" x14ac:dyDescent="0.25">
      <c r="A95" s="1" t="s">
        <v>105</v>
      </c>
      <c r="B95" s="1" t="s">
        <v>204</v>
      </c>
      <c r="C95" s="1" t="s">
        <v>215</v>
      </c>
      <c r="D95" s="1">
        <v>21</v>
      </c>
      <c r="E95" s="1">
        <v>30</v>
      </c>
      <c r="F95" s="1">
        <v>58</v>
      </c>
      <c r="G95" s="1">
        <v>49</v>
      </c>
      <c r="H95" s="1">
        <v>81</v>
      </c>
      <c r="I95" s="1">
        <v>239</v>
      </c>
      <c r="J95" s="1">
        <v>500</v>
      </c>
      <c r="K95" s="7">
        <v>0.47799999999999998</v>
      </c>
      <c r="L95" s="7">
        <v>0.52200000000000002</v>
      </c>
    </row>
    <row r="96" spans="1:12" x14ac:dyDescent="0.25">
      <c r="A96" s="1" t="s">
        <v>106</v>
      </c>
      <c r="B96" s="1" t="s">
        <v>205</v>
      </c>
      <c r="C96" s="1" t="s">
        <v>215</v>
      </c>
      <c r="D96" s="1">
        <v>24</v>
      </c>
      <c r="E96" s="1">
        <v>17</v>
      </c>
      <c r="F96" s="1">
        <v>89</v>
      </c>
      <c r="G96" s="1">
        <v>32</v>
      </c>
      <c r="H96" s="1">
        <v>28</v>
      </c>
      <c r="I96" s="1">
        <v>190</v>
      </c>
      <c r="J96" s="1">
        <v>500</v>
      </c>
      <c r="K96" s="7">
        <v>0.38</v>
      </c>
      <c r="L96" s="7">
        <v>0.62</v>
      </c>
    </row>
    <row r="97" spans="1:12" x14ac:dyDescent="0.25">
      <c r="A97" s="1" t="s">
        <v>107</v>
      </c>
      <c r="B97" s="1" t="s">
        <v>206</v>
      </c>
      <c r="C97" s="1" t="s">
        <v>210</v>
      </c>
      <c r="D97" s="1">
        <v>73</v>
      </c>
      <c r="E97" s="1">
        <v>80</v>
      </c>
      <c r="F97" s="1">
        <v>48</v>
      </c>
      <c r="G97" s="1">
        <v>70</v>
      </c>
      <c r="H97" s="1">
        <v>13</v>
      </c>
      <c r="I97" s="1">
        <v>284</v>
      </c>
      <c r="J97" s="1">
        <v>500</v>
      </c>
      <c r="K97" s="7">
        <v>0.56799999999999995</v>
      </c>
      <c r="L97" s="7">
        <v>0.432</v>
      </c>
    </row>
    <row r="98" spans="1:12" x14ac:dyDescent="0.25">
      <c r="A98" s="1" t="s">
        <v>108</v>
      </c>
      <c r="B98" s="1" t="s">
        <v>207</v>
      </c>
      <c r="C98" s="1" t="s">
        <v>217</v>
      </c>
      <c r="D98" s="1">
        <v>31</v>
      </c>
      <c r="E98" s="1">
        <v>26</v>
      </c>
      <c r="F98" s="1">
        <v>47</v>
      </c>
      <c r="G98" s="1">
        <v>63</v>
      </c>
      <c r="H98" s="1">
        <v>91</v>
      </c>
      <c r="I98" s="1">
        <v>258</v>
      </c>
      <c r="J98" s="1">
        <v>500</v>
      </c>
      <c r="K98" s="7">
        <v>0.51600000000000001</v>
      </c>
      <c r="L98" s="7">
        <v>0.48399999999999999</v>
      </c>
    </row>
    <row r="99" spans="1:12" x14ac:dyDescent="0.25">
      <c r="A99" s="1" t="s">
        <v>109</v>
      </c>
      <c r="B99" s="1" t="s">
        <v>208</v>
      </c>
      <c r="C99" s="1" t="s">
        <v>213</v>
      </c>
      <c r="D99" s="1">
        <v>28</v>
      </c>
      <c r="E99" s="1">
        <v>68</v>
      </c>
      <c r="F99" s="1">
        <v>93</v>
      </c>
      <c r="G99" s="1">
        <v>29</v>
      </c>
      <c r="H99" s="1">
        <v>53</v>
      </c>
      <c r="I99" s="1">
        <v>271</v>
      </c>
      <c r="J99" s="1">
        <v>500</v>
      </c>
      <c r="K99" s="7">
        <v>0.54200000000000004</v>
      </c>
      <c r="L99" s="7">
        <v>0.45800000000000002</v>
      </c>
    </row>
    <row r="100" spans="1:12" x14ac:dyDescent="0.25">
      <c r="A100" s="1" t="s">
        <v>110</v>
      </c>
      <c r="B100" s="1" t="s">
        <v>209</v>
      </c>
      <c r="C100" s="1" t="s">
        <v>214</v>
      </c>
      <c r="D100" s="1">
        <v>22</v>
      </c>
      <c r="E100" s="1">
        <v>75</v>
      </c>
      <c r="F100" s="1">
        <v>61</v>
      </c>
      <c r="G100" s="1">
        <v>72</v>
      </c>
      <c r="H100" s="1">
        <v>19</v>
      </c>
      <c r="I100" s="1">
        <v>249</v>
      </c>
      <c r="J100" s="1">
        <v>500</v>
      </c>
      <c r="K100" s="7">
        <v>0.498</v>
      </c>
      <c r="L100" s="7">
        <v>0.502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SUJAN SHRESTHA</cp:lastModifiedBy>
  <dcterms:created xsi:type="dcterms:W3CDTF">2025-05-07T08:51:10Z</dcterms:created>
  <dcterms:modified xsi:type="dcterms:W3CDTF">2025-05-07T12:55:00Z</dcterms:modified>
</cp:coreProperties>
</file>